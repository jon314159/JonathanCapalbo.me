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5250ad8c2744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eda303176b9441a"/>
    <x:sheet xmlns:r="http://schemas.openxmlformats.org/officeDocument/2006/relationships" name="Activity" sheetId="2" r:id="R13e7351779bb400f"/>
    <x:sheet xmlns:r="http://schemas.openxmlformats.org/officeDocument/2006/relationships" name="Settings" sheetId="3" r:id="R9a7e87a4f6e746bc"/>
    <x:sheet xmlns:r="http://schemas.openxmlformats.org/officeDocument/2006/relationships" name="Read Me" sheetId="4" r:id="Ra7f453c16f4940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m d, yyyy"/>
    <x:numFmt numFmtId="201" formatCode="0.0"/>
    <x:numFmt numFmtId="202" formatCode="0"/>
    <x:numFmt numFmtId="203" formatCode="0.0%"/>
    <x:numFmt numFmtId="204" formatCode="mmm d"/>
  </x:numFmts>
  <x:fonts count="6">
    <x:font>
      <x:sz val="11"/>
      <x:name val="Carlito"/>
    </x:font>
    <x:font>
      <x:sz val="11"/>
      <x:color rgb="FF0B1F33"/>
      <x:name val="Arial"/>
    </x:font>
    <x:font>
      <x:b/>
      <x:sz val="16"/>
      <x:color rgb="FF0B1F33"/>
      <x:name val="Arial"/>
    </x:font>
    <x:font>
      <x:b/>
      <x:sz val="11"/>
      <x:color rgb="FFFFFFFF"/>
      <x:name val="Arial"/>
    </x:font>
    <x:font>
      <x:sz val="11"/>
      <x:color rgb="FF2147BE"/>
      <x:name val="Arial"/>
    </x:font>
    <x:font>
      <x:b/>
      <x:sz val="11"/>
      <x:color rgb="FF0B1F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B1F33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713B00"/>
      </x:font>
      <x:fill>
        <x:patternFill patternType="solid">
          <x:bgColor rgb="FFFFF0D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4e2f7fb0824c2d" /><Relationship Type="http://schemas.openxmlformats.org/officeDocument/2006/relationships/theme" Target="/xl/theme/theme1.xml" Id="R5cf9ebea1532482e" /><Relationship Type="http://schemas.openxmlformats.org/officeDocument/2006/relationships/sharedStrings" Target="/xl/sharedStrings.xml" Id="R19daa172fd9743f0" /><Relationship Type="http://schemas.openxmlformats.org/officeDocument/2006/relationships/worksheet" Target="/xl/worksheets/sheet1.xml" Id="R9eda303176b9441a" /><Relationship Type="http://schemas.openxmlformats.org/officeDocument/2006/relationships/worksheet" Target="/xl/worksheets/sheet2.xml" Id="R13e7351779bb400f" /><Relationship Type="http://schemas.openxmlformats.org/officeDocument/2006/relationships/worksheet" Target="/xl/worksheets/sheet3.xml" Id="R9a7e87a4f6e746bc" /><Relationship Type="http://schemas.openxmlformats.org/officeDocument/2006/relationships/worksheet" Target="/xl/worksheets/sheet4.xml" Id="Ra7f453c16f49400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7c3eaf30170484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Daily completed units and goal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Completed units</c:v>
          </c:tx>
          <c:spPr>
            <a:ln xmlns:a="http://schemas.openxmlformats.org/drawingml/2006/main" w="19050">
              <a:solidFill>
                <a:srgbClr val="2147BE"/>
              </a:solidFill>
              <a:prstDash val="solid"/>
            </a:ln>
          </c:spPr>
          <c:marker>
            <c:symbol val="none"/>
          </c:marker>
          <c:cat>
            <c:strRef>
              <c:f>'Summary'!$A$27:$A$57</c:f>
              <c:strCache>
                <c:ptCount val="0"/>
              </c:strCache>
            </c:strRef>
          </c:cat>
          <c:val>
            <c:numRef>
              <c:f>'Summary'!$B$27:$B$57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Daily goal</c:v>
          </c:tx>
          <c:spPr>
            <a:ln xmlns:a="http://schemas.openxmlformats.org/drawingml/2006/main" w="19050">
              <a:solidFill>
                <a:srgbClr val="657381"/>
              </a:solidFill>
              <a:prstDash val="dash"/>
            </a:ln>
          </c:spPr>
          <c:marker>
            <c:symbol val="none"/>
          </c:marker>
          <c:cat>
            <c:strRef>
              <c:f>'Summary'!$A$27:$A$57</c:f>
              <c:strCache>
                <c:ptCount val="0"/>
              </c:strCache>
            </c:strRef>
          </c:cat>
          <c:val>
            <c:numRef>
              <c:f>'Summary'!$C$27:$C$57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mmm d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  <c:auto val="1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c3eaf30170484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ctivities" displayName="Activities" ref="A6:J471" headerRowCount="1" totalsRowCount="0" totalsRowShown="0">
  <x:tableColumns count="10">
    <x:tableColumn id="1" name="Date"/>
    <x:tableColumn id="2" name="Time"/>
    <x:tableColumn id="3" name="Interaction ID"/>
    <x:tableColumn id="4" name="Product"/>
    <x:tableColumn id="5" name="Outcome"/>
    <x:tableColumn id="6" name="Units"/>
    <x:tableColumn id="7" name="Points"/>
    <x:tableColumn id="8" name="Follow-up"/>
    <x:tableColumn id="9" name="Notes"/>
    <x:tableColumn id="10" name="Original ro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cecc758682c46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0c910dbfaf4b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7" hidden="0" customWidth="1"/>
    <x:col min="3" max="3" width="14" hidden="0" customWidth="1"/>
    <x:col min="4" max="4" width="16" hidden="0" customWidth="1"/>
    <x:col min="5" max="5" width="3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3" t="str">
        <x:v>Fictional activity reporting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3" customHeight="1">
      <x:c r="A3" s="2" t="str">
        <x:v>New portfolio revision: September 11, 2026. Original records and goals retained.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0" customHeight="1">
      <x:c r="A5" s="6" t="str">
        <x:v>Metric</x:v>
      </x:c>
      <x:c r="B5" s="6" t="str">
        <x:v>Result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23" customHeight="1">
      <x:c r="A6" s="2" t="str">
        <x:v>Activities</x:v>
      </x:c>
      <x:c r="B6" s="2" t="n">
        <x:f>COUNTA(Activities[Interaction ID])</x:f>
        <x:v>465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23" customHeight="1">
      <x:c r="A7" s="2" t="str">
        <x:v>Completed units</x:v>
      </x:c>
      <x:c r="B7" s="2" t="n">
        <x:f>SUM(Activities[Units])</x:f>
        <x:v>324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23" customHeight="1">
      <x:c r="A8" s="2" t="str">
        <x:v>Points</x:v>
      </x:c>
      <x:c r="B8" s="12" t="n">
        <x:f>SUM(Activities[Points])</x:f>
        <x:v>402.5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23" customHeight="1">
      <x:c r="A9" s="2" t="str">
        <x:v>Monthly product goals</x:v>
      </x:c>
      <x:c r="B9" s="2" t="n">
        <x:f>SUM(Settings!B14:B17)</x:f>
        <x:v>310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 ht="23" customHeight="1">
      <x:c r="A10" s="2" t="str">
        <x:v>Product goal attainment</x:v>
      </x:c>
      <x:c r="B10" s="13" t="n">
        <x:f>IF(B9=0,"n.a.",B7/B9)</x:f>
        <x:v>1.0451612903225806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 ht="23" customHeight="1">
      <x:c r="A11" s="2" t="str">
        <x:v>Daily target over period</x:v>
      </x:c>
      <x:c r="B11" s="2" t="n">
        <x:f>Settings!B7*Settings!B6</x:f>
        <x:v>341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23" customHeight="1">
      <x:c r="A12" s="2" t="str">
        <x:v>Daily-target attainment</x:v>
      </x:c>
      <x:c r="B12" s="13" t="n">
        <x:f>IF(B11=0,"n.a.",B7/B11)</x:f>
        <x:v>0.9501466275659824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23" customHeight="1">
      <x:c r="A13" s="2" t="str">
        <x:v>Days meeting daily target</x:v>
      </x:c>
      <x:c r="B13" s="2" t="n">
        <x:f>COUNTIFS(D27:D57,"Met")</x:f>
        <x:v>14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23" customHeight="1">
      <x:c r="A14" s="2" t="str">
        <x:v>Follow-up flags</x:v>
      </x:c>
      <x:c r="B14" s="2" t="n">
        <x:f>COUNTIFS(Activities[Follow-up],"Yes")</x:f>
        <x:v>95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23" customHeight="1">
      <x:c r="A15" s="2" t="str">
        <x:v>Points goal attainment</x:v>
      </x:c>
      <x:c r="B15" s="13" t="n">
        <x:f>IF(Settings!B9=0,"n.a.",B8/Settings!B9)</x:f>
        <x:v>1.00625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23" customHeight="1">
      <x:c r="A16" s="2" t="str">
        <x:v>Days-met goal</x:v>
      </x:c>
      <x:c r="B16" s="2" t="n">
        <x:f>Settings!B10</x:f>
        <x:v>18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30" customHeight="1">
      <x:c r="A19" s="6" t="str">
        <x:v>Product</x:v>
      </x:c>
      <x:c r="B19" s="6" t="str">
        <x:v>Completed units</x:v>
      </x:c>
      <x:c r="C19" s="6" t="str">
        <x:v>Monthly goal</x:v>
      </x:c>
      <x:c r="D19" s="6" t="str">
        <x:v>Attainment</x:v>
      </x:c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3" customHeight="1">
      <x:c r="A20" s="2" t="str">
        <x:f>Settings!A14</x:f>
        <x:v>Core Package</x:v>
      </x:c>
      <x:c r="B20" s="2" t="n">
        <x:f>SUMIFS(Activities[Units],Activities[Product],A20)</x:f>
        <x:v>85</x:v>
      </x:c>
      <x:c r="C20" s="2" t="n">
        <x:f>Settings!B14</x:f>
        <x:v>82</x:v>
      </x:c>
      <x:c r="D20" s="13" t="n">
        <x:f>IF(C20=0,"n.a.",B20/C20)</x:f>
        <x:v>1.0365853658536586</x:v>
      </x:c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23" customHeight="1">
      <x:c r="A21" s="2" t="str">
        <x:f>Settings!A15</x:f>
        <x:v>Plus Package</x:v>
      </x:c>
      <x:c r="B21" s="2" t="n">
        <x:f>SUMIFS(Activities[Units],Activities[Product],A21)</x:f>
        <x:v>81</x:v>
      </x:c>
      <x:c r="C21" s="2" t="n">
        <x:f>Settings!B15</x:f>
        <x:v>78</x:v>
      </x:c>
      <x:c r="D21" s="13" t="n">
        <x:f>IF(C21=0,"n.a.",B21/C21)</x:f>
        <x:v>1.0384615384615385</x:v>
      </x:c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3" customHeight="1">
      <x:c r="A22" s="2" t="str">
        <x:f>Settings!A16</x:f>
        <x:v>Premium Package</x:v>
      </x:c>
      <x:c r="B22" s="2" t="n">
        <x:f>SUMIFS(Activities[Units],Activities[Product],A22)</x:f>
        <x:v>78</x:v>
      </x:c>
      <x:c r="C22" s="2" t="n">
        <x:f>Settings!B16</x:f>
        <x:v>76</x:v>
      </x:c>
      <x:c r="D22" s="13" t="n">
        <x:f>IF(C22=0,"n.a.",B22/C22)</x:f>
        <x:v>1.0263157894736843</x:v>
      </x:c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3" customHeight="1">
      <x:c r="A23" s="2" t="str">
        <x:f>Settings!A17</x:f>
        <x:v>Optional Add-on</x:v>
      </x:c>
      <x:c r="B23" s="2" t="n">
        <x:f>SUMIFS(Activities[Units],Activities[Product],A23)</x:f>
        <x:v>80</x:v>
      </x:c>
      <x:c r="C23" s="2" t="n">
        <x:f>Settings!B17</x:f>
        <x:v>74</x:v>
      </x:c>
      <x:c r="D23" s="13" t="n">
        <x:f>IF(C23=0,"n.a.",B23/C23)</x:f>
        <x:v>1.0810810810810811</x:v>
      </x:c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3" customHeight="1">
      <x:c r="A25" s="2" t="str">
        <x:v>Monthly product goals and daily targets are independent.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30" customHeight="1">
      <x:c r="A26" s="6" t="str">
        <x:v>Date</x:v>
      </x:c>
      <x:c r="B26" s="6" t="str">
        <x:v>Completed units</x:v>
      </x:c>
      <x:c r="C26" s="6" t="str">
        <x:v>Daily goal</x:v>
      </x:c>
      <x:c r="D26" s="6" t="str">
        <x:v>Status</x:v>
      </x:c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3" customHeight="1">
      <x:c r="A27" s="14" t="n">
        <x:f>Settings!$B$5+0</x:f>
        <x:v>46204.5</x:v>
      </x:c>
      <x:c r="B27" s="2" t="n">
        <x:f>SUMIFS(Activities[Units],Activities[Date],"&gt;="&amp;INT(A27),Activities[Date],"&lt;"&amp;(INT(A27)+1))</x:f>
        <x:v>11</x:v>
      </x:c>
      <x:c r="C27" s="2" t="n">
        <x:f>Settings!$B$7</x:f>
        <x:v>11</x:v>
      </x:c>
      <x:c r="D27" s="2" t="str">
        <x:f>IF(B27&gt;=C27,"Met","Below")</x:f>
        <x:v>Met</x:v>
      </x:c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3" customHeight="1">
      <x:c r="A28" s="14" t="n">
        <x:f>Settings!$B$5+1</x:f>
        <x:v>46205.5</x:v>
      </x:c>
      <x:c r="B28" s="2" t="n">
        <x:f>SUMIFS(Activities[Units],Activities[Date],"&gt;="&amp;INT(A28),Activities[Date],"&lt;"&amp;(INT(A28)+1))</x:f>
        <x:v>12</x:v>
      </x:c>
      <x:c r="C28" s="2" t="n">
        <x:f>Settings!$B$7</x:f>
        <x:v>11</x:v>
      </x:c>
      <x:c r="D28" s="2" t="str">
        <x:f>IF(B28&gt;=C28,"Met","Below")</x:f>
        <x:v>Met</x:v>
      </x:c>
      <x:c r="E28" s="2"/>
      <x:c r="F28" s="2"/>
      <x:c r="G28" s="2"/>
      <x:c r="H28" s="2"/>
      <x:c r="I28" s="2"/>
      <x:c r="J28" s="2"/>
      <x:c r="K28" s="2"/>
      <x:c r="L28" s="2"/>
      <x:c r="M28" s="2"/>
    </x:row>
    <x:row r="29" ht="23" customHeight="1">
      <x:c r="A29" s="14" t="n">
        <x:f>Settings!$B$5+2</x:f>
        <x:v>46206.5</x:v>
      </x:c>
      <x:c r="B29" s="2" t="n">
        <x:f>SUMIFS(Activities[Units],Activities[Date],"&gt;="&amp;INT(A29),Activities[Date],"&lt;"&amp;(INT(A29)+1))</x:f>
        <x:v>8</x:v>
      </x:c>
      <x:c r="C29" s="2" t="n">
        <x:f>Settings!$B$7</x:f>
        <x:v>11</x:v>
      </x:c>
      <x:c r="D29" s="2" t="str">
        <x:f>IF(B29&gt;=C29,"Met","Below")</x:f>
        <x:v>Below</x:v>
      </x:c>
      <x:c r="E29" s="2"/>
      <x:c r="F29" s="2"/>
      <x:c r="G29" s="2"/>
      <x:c r="H29" s="2"/>
      <x:c r="I29" s="2"/>
      <x:c r="J29" s="2"/>
      <x:c r="K29" s="2"/>
      <x:c r="L29" s="2"/>
      <x:c r="M29" s="2"/>
    </x:row>
    <x:row r="30" ht="23" customHeight="1">
      <x:c r="A30" s="14" t="n">
        <x:f>Settings!$B$5+3</x:f>
        <x:v>46207.5</x:v>
      </x:c>
      <x:c r="B30" s="2" t="n">
        <x:f>SUMIFS(Activities[Units],Activities[Date],"&gt;="&amp;INT(A30),Activities[Date],"&lt;"&amp;(INT(A30)+1))</x:f>
        <x:v>14</x:v>
      </x:c>
      <x:c r="C30" s="2" t="n">
        <x:f>Settings!$B$7</x:f>
        <x:v>11</x:v>
      </x:c>
      <x:c r="D30" s="2" t="str">
        <x:f>IF(B30&gt;=C30,"Met","Below")</x:f>
        <x:v>Met</x:v>
      </x:c>
      <x:c r="E30" s="2"/>
      <x:c r="F30" s="2"/>
      <x:c r="G30" s="2"/>
      <x:c r="H30" s="2"/>
      <x:c r="I30" s="2"/>
      <x:c r="J30" s="2"/>
      <x:c r="K30" s="2"/>
      <x:c r="L30" s="2"/>
      <x:c r="M30" s="2"/>
    </x:row>
    <x:row r="31" ht="23" customHeight="1">
      <x:c r="A31" s="14" t="n">
        <x:f>Settings!$B$5+4</x:f>
        <x:v>46208.5</x:v>
      </x:c>
      <x:c r="B31" s="2" t="n">
        <x:f>SUMIFS(Activities[Units],Activities[Date],"&gt;="&amp;INT(A31),Activities[Date],"&lt;"&amp;(INT(A31)+1))</x:f>
        <x:v>10</x:v>
      </x:c>
      <x:c r="C31" s="2" t="n">
        <x:f>Settings!$B$7</x:f>
        <x:v>11</x:v>
      </x:c>
      <x:c r="D31" s="2" t="str">
        <x:f>IF(B31&gt;=C31,"Met","Below")</x:f>
        <x:v>Below</x:v>
      </x:c>
      <x:c r="E31" s="2"/>
      <x:c r="F31" s="2"/>
      <x:c r="G31" s="2"/>
      <x:c r="H31" s="2"/>
      <x:c r="I31" s="2"/>
      <x:c r="J31" s="2"/>
      <x:c r="K31" s="2"/>
      <x:c r="L31" s="2"/>
      <x:c r="M31" s="2"/>
    </x:row>
    <x:row r="32" ht="23" customHeight="1">
      <x:c r="A32" s="14" t="n">
        <x:f>Settings!$B$5+5</x:f>
        <x:v>46209.5</x:v>
      </x:c>
      <x:c r="B32" s="2" t="n">
        <x:f>SUMIFS(Activities[Units],Activities[Date],"&gt;="&amp;INT(A32),Activities[Date],"&lt;"&amp;(INT(A32)+1))</x:f>
        <x:v>12</x:v>
      </x:c>
      <x:c r="C32" s="2" t="n">
        <x:f>Settings!$B$7</x:f>
        <x:v>11</x:v>
      </x:c>
      <x:c r="D32" s="2" t="str">
        <x:f>IF(B32&gt;=C32,"Met","Below")</x:f>
        <x:v>Met</x:v>
      </x:c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23" customHeight="1">
      <x:c r="A33" s="14" t="n">
        <x:f>Settings!$B$5+6</x:f>
        <x:v>46210.5</x:v>
      </x:c>
      <x:c r="B33" s="2" t="n">
        <x:f>SUMIFS(Activities[Units],Activities[Date],"&gt;="&amp;INT(A33),Activities[Date],"&lt;"&amp;(INT(A33)+1))</x:f>
        <x:v>8</x:v>
      </x:c>
      <x:c r="C33" s="2" t="n">
        <x:f>Settings!$B$7</x:f>
        <x:v>11</x:v>
      </x:c>
      <x:c r="D33" s="2" t="str">
        <x:f>IF(B33&gt;=C33,"Met","Below")</x:f>
        <x:v>Below</x:v>
      </x:c>
      <x:c r="E33" s="2"/>
      <x:c r="F33" s="2"/>
      <x:c r="G33" s="2"/>
      <x:c r="H33" s="2"/>
      <x:c r="I33" s="2"/>
      <x:c r="J33" s="2"/>
      <x:c r="K33" s="2"/>
      <x:c r="L33" s="2"/>
      <x:c r="M33" s="2"/>
    </x:row>
    <x:row r="34" ht="23" customHeight="1">
      <x:c r="A34" s="14" t="n">
        <x:f>Settings!$B$5+7</x:f>
        <x:v>46211.5</x:v>
      </x:c>
      <x:c r="B34" s="2" t="n">
        <x:f>SUMIFS(Activities[Units],Activities[Date],"&gt;="&amp;INT(A34),Activities[Date],"&lt;"&amp;(INT(A34)+1))</x:f>
        <x:v>13</x:v>
      </x:c>
      <x:c r="C34" s="2" t="n">
        <x:f>Settings!$B$7</x:f>
        <x:v>11</x:v>
      </x:c>
      <x:c r="D34" s="2" t="str">
        <x:f>IF(B34&gt;=C34,"Met","Below")</x:f>
        <x:v>Met</x:v>
      </x:c>
      <x:c r="E34" s="2"/>
      <x:c r="F34" s="2"/>
      <x:c r="G34" s="2"/>
      <x:c r="H34" s="2"/>
      <x:c r="I34" s="2"/>
      <x:c r="J34" s="2"/>
      <x:c r="K34" s="2"/>
      <x:c r="L34" s="2"/>
      <x:c r="M34" s="2"/>
    </x:row>
    <x:row r="35" ht="23" customHeight="1">
      <x:c r="A35" s="14" t="n">
        <x:f>Settings!$B$5+8</x:f>
        <x:v>46212.5</x:v>
      </x:c>
      <x:c r="B35" s="2" t="n">
        <x:f>SUMIFS(Activities[Units],Activities[Date],"&gt;="&amp;INT(A35),Activities[Date],"&lt;"&amp;(INT(A35)+1))</x:f>
        <x:v>9</x:v>
      </x:c>
      <x:c r="C35" s="2" t="n">
        <x:f>Settings!$B$7</x:f>
        <x:v>11</x:v>
      </x:c>
      <x:c r="D35" s="2" t="str">
        <x:f>IF(B35&gt;=C35,"Met","Below")</x:f>
        <x:v>Below</x:v>
      </x:c>
      <x:c r="E35" s="2"/>
      <x:c r="F35" s="2"/>
      <x:c r="G35" s="2"/>
      <x:c r="H35" s="2"/>
      <x:c r="I35" s="2"/>
      <x:c r="J35" s="2"/>
      <x:c r="K35" s="2"/>
      <x:c r="L35" s="2"/>
      <x:c r="M35" s="2"/>
    </x:row>
    <x:row r="36" ht="23" customHeight="1">
      <x:c r="A36" s="14" t="n">
        <x:f>Settings!$B$5+9</x:f>
        <x:v>46213.5</x:v>
      </x:c>
      <x:c r="B36" s="2" t="n">
        <x:f>SUMIFS(Activities[Units],Activities[Date],"&gt;="&amp;INT(A36),Activities[Date],"&lt;"&amp;(INT(A36)+1))</x:f>
        <x:v>12</x:v>
      </x:c>
      <x:c r="C36" s="2" t="n">
        <x:f>Settings!$B$7</x:f>
        <x:v>11</x:v>
      </x:c>
      <x:c r="D36" s="2" t="str">
        <x:f>IF(B36&gt;=C36,"Met","Below")</x:f>
        <x:v>Met</x:v>
      </x:c>
      <x:c r="E36" s="2"/>
      <x:c r="F36" s="2"/>
      <x:c r="G36" s="2"/>
      <x:c r="H36" s="2"/>
      <x:c r="I36" s="2"/>
      <x:c r="J36" s="2"/>
      <x:c r="K36" s="2"/>
      <x:c r="L36" s="2"/>
      <x:c r="M36" s="2"/>
    </x:row>
    <x:row r="37" ht="23" customHeight="1">
      <x:c r="A37" s="14" t="n">
        <x:f>Settings!$B$5+10</x:f>
        <x:v>46214.5</x:v>
      </x:c>
      <x:c r="B37" s="2" t="n">
        <x:f>SUMIFS(Activities[Units],Activities[Date],"&gt;="&amp;INT(A37),Activities[Date],"&lt;"&amp;(INT(A37)+1))</x:f>
        <x:v>11</x:v>
      </x:c>
      <x:c r="C37" s="2" t="n">
        <x:f>Settings!$B$7</x:f>
        <x:v>11</x:v>
      </x:c>
      <x:c r="D37" s="2" t="str">
        <x:f>IF(B37&gt;=C37,"Met","Below")</x:f>
        <x:v>Met</x:v>
      </x:c>
      <x:c r="E37" s="2"/>
      <x:c r="F37" s="2"/>
      <x:c r="G37" s="2"/>
      <x:c r="H37" s="2"/>
      <x:c r="I37" s="2"/>
      <x:c r="J37" s="2"/>
      <x:c r="K37" s="2"/>
      <x:c r="L37" s="2"/>
      <x:c r="M37" s="2"/>
    </x:row>
    <x:row r="38" ht="23" customHeight="1">
      <x:c r="A38" s="14" t="n">
        <x:f>Settings!$B$5+11</x:f>
        <x:v>46215.5</x:v>
      </x:c>
      <x:c r="B38" s="2" t="n">
        <x:f>SUMIFS(Activities[Units],Activities[Date],"&gt;="&amp;INT(A38),Activities[Date],"&lt;"&amp;(INT(A38)+1))</x:f>
        <x:v>12</x:v>
      </x:c>
      <x:c r="C38" s="2" t="n">
        <x:f>Settings!$B$7</x:f>
        <x:v>11</x:v>
      </x:c>
      <x:c r="D38" s="2" t="str">
        <x:f>IF(B38&gt;=C38,"Met","Below")</x:f>
        <x:v>Met</x:v>
      </x:c>
      <x:c r="E38" s="2"/>
      <x:c r="F38" s="2"/>
      <x:c r="G38" s="2"/>
      <x:c r="H38" s="2"/>
      <x:c r="I38" s="2"/>
      <x:c r="J38" s="2"/>
      <x:c r="K38" s="2"/>
      <x:c r="L38" s="2"/>
      <x:c r="M38" s="2"/>
    </x:row>
    <x:row r="39" ht="23" customHeight="1">
      <x:c r="A39" s="14" t="n">
        <x:f>Settings!$B$5+12</x:f>
        <x:v>46216.5</x:v>
      </x:c>
      <x:c r="B39" s="2" t="n">
        <x:f>SUMIFS(Activities[Units],Activities[Date],"&gt;="&amp;INT(A39),Activities[Date],"&lt;"&amp;(INT(A39)+1))</x:f>
        <x:v>9</x:v>
      </x:c>
      <x:c r="C39" s="2" t="n">
        <x:f>Settings!$B$7</x:f>
        <x:v>11</x:v>
      </x:c>
      <x:c r="D39" s="2" t="str">
        <x:f>IF(B39&gt;=C39,"Met","Below")</x:f>
        <x:v>Below</x:v>
      </x:c>
      <x:c r="E39" s="2"/>
      <x:c r="F39" s="2"/>
      <x:c r="G39" s="2"/>
      <x:c r="H39" s="2"/>
      <x:c r="I39" s="2"/>
      <x:c r="J39" s="2"/>
      <x:c r="K39" s="2"/>
      <x:c r="L39" s="2"/>
      <x:c r="M39" s="2"/>
    </x:row>
    <x:row r="40" ht="23" customHeight="1">
      <x:c r="A40" s="14" t="n">
        <x:f>Settings!$B$5+13</x:f>
        <x:v>46217.5</x:v>
      </x:c>
      <x:c r="B40" s="2" t="n">
        <x:f>SUMIFS(Activities[Units],Activities[Date],"&gt;="&amp;INT(A40),Activities[Date],"&lt;"&amp;(INT(A40)+1))</x:f>
        <x:v>10</x:v>
      </x:c>
      <x:c r="C40" s="2" t="n">
        <x:f>Settings!$B$7</x:f>
        <x:v>11</x:v>
      </x:c>
      <x:c r="D40" s="2" t="str">
        <x:f>IF(B40&gt;=C40,"Met","Below")</x:f>
        <x:v>Below</x:v>
      </x:c>
      <x:c r="E40" s="2"/>
      <x:c r="F40" s="2"/>
      <x:c r="G40" s="2"/>
      <x:c r="H40" s="2"/>
      <x:c r="I40" s="2"/>
      <x:c r="J40" s="2"/>
      <x:c r="K40" s="2"/>
      <x:c r="L40" s="2"/>
      <x:c r="M40" s="2"/>
    </x:row>
    <x:row r="41" ht="23" customHeight="1">
      <x:c r="A41" s="14" t="n">
        <x:f>Settings!$B$5+14</x:f>
        <x:v>46218.5</x:v>
      </x:c>
      <x:c r="B41" s="2" t="n">
        <x:f>SUMIFS(Activities[Units],Activities[Date],"&gt;="&amp;INT(A41),Activities[Date],"&lt;"&amp;(INT(A41)+1))</x:f>
        <x:v>10</x:v>
      </x:c>
      <x:c r="C41" s="2" t="n">
        <x:f>Settings!$B$7</x:f>
        <x:v>11</x:v>
      </x:c>
      <x:c r="D41" s="2" t="str">
        <x:f>IF(B41&gt;=C41,"Met","Below")</x:f>
        <x:v>Below</x:v>
      </x:c>
      <x:c r="E41" s="2"/>
      <x:c r="F41" s="2"/>
      <x:c r="G41" s="2"/>
      <x:c r="H41" s="2"/>
      <x:c r="I41" s="2"/>
      <x:c r="J41" s="2"/>
      <x:c r="K41" s="2"/>
      <x:c r="L41" s="2"/>
      <x:c r="M41" s="2"/>
    </x:row>
    <x:row r="42" ht="23" customHeight="1">
      <x:c r="A42" s="14" t="n">
        <x:f>Settings!$B$5+15</x:f>
        <x:v>46219.5</x:v>
      </x:c>
      <x:c r="B42" s="2" t="n">
        <x:f>SUMIFS(Activities[Units],Activities[Date],"&gt;="&amp;INT(A42),Activities[Date],"&lt;"&amp;(INT(A42)+1))</x:f>
        <x:v>12</x:v>
      </x:c>
      <x:c r="C42" s="2" t="n">
        <x:f>Settings!$B$7</x:f>
        <x:v>11</x:v>
      </x:c>
      <x:c r="D42" s="2" t="str">
        <x:f>IF(B42&gt;=C42,"Met","Below")</x:f>
        <x:v>Met</x:v>
      </x:c>
      <x:c r="E42" s="2"/>
      <x:c r="F42" s="2"/>
      <x:c r="G42" s="2"/>
      <x:c r="H42" s="2"/>
      <x:c r="I42" s="2"/>
      <x:c r="J42" s="2"/>
      <x:c r="K42" s="2"/>
      <x:c r="L42" s="2"/>
      <x:c r="M42" s="2"/>
    </x:row>
    <x:row r="43" ht="23" customHeight="1">
      <x:c r="A43" s="14" t="n">
        <x:f>Settings!$B$5+16</x:f>
        <x:v>46220.5</x:v>
      </x:c>
      <x:c r="B43" s="2" t="n">
        <x:f>SUMIFS(Activities[Units],Activities[Date],"&gt;="&amp;INT(A43),Activities[Date],"&lt;"&amp;(INT(A43)+1))</x:f>
        <x:v>9</x:v>
      </x:c>
      <x:c r="C43" s="2" t="n">
        <x:f>Settings!$B$7</x:f>
        <x:v>11</x:v>
      </x:c>
      <x:c r="D43" s="2" t="str">
        <x:f>IF(B43&gt;=C43,"Met","Below")</x:f>
        <x:v>Below</x:v>
      </x:c>
      <x:c r="E43" s="2"/>
      <x:c r="F43" s="2"/>
      <x:c r="G43" s="2"/>
      <x:c r="H43" s="2"/>
      <x:c r="I43" s="2"/>
      <x:c r="J43" s="2"/>
      <x:c r="K43" s="2"/>
      <x:c r="L43" s="2"/>
      <x:c r="M43" s="2"/>
    </x:row>
    <x:row r="44" ht="23" customHeight="1">
      <x:c r="A44" s="14" t="n">
        <x:f>Settings!$B$5+17</x:f>
        <x:v>46221.5</x:v>
      </x:c>
      <x:c r="B44" s="2" t="n">
        <x:f>SUMIFS(Activities[Units],Activities[Date],"&gt;="&amp;INT(A44),Activities[Date],"&lt;"&amp;(INT(A44)+1))</x:f>
        <x:v>13</x:v>
      </x:c>
      <x:c r="C44" s="2" t="n">
        <x:f>Settings!$B$7</x:f>
        <x:v>11</x:v>
      </x:c>
      <x:c r="D44" s="2" t="str">
        <x:f>IF(B44&gt;=C44,"Met","Below")</x:f>
        <x:v>Met</x:v>
      </x:c>
      <x:c r="E44" s="2"/>
      <x:c r="F44" s="2"/>
      <x:c r="G44" s="2"/>
      <x:c r="H44" s="2"/>
      <x:c r="I44" s="2"/>
      <x:c r="J44" s="2"/>
      <x:c r="K44" s="2"/>
      <x:c r="L44" s="2"/>
      <x:c r="M44" s="2"/>
    </x:row>
    <x:row r="45" ht="23" customHeight="1">
      <x:c r="A45" s="14" t="n">
        <x:f>Settings!$B$5+18</x:f>
        <x:v>46222.5</x:v>
      </x:c>
      <x:c r="B45" s="2" t="n">
        <x:f>SUMIFS(Activities[Units],Activities[Date],"&gt;="&amp;INT(A45),Activities[Date],"&lt;"&amp;(INT(A45)+1))</x:f>
        <x:v>9</x:v>
      </x:c>
      <x:c r="C45" s="2" t="n">
        <x:f>Settings!$B$7</x:f>
        <x:v>11</x:v>
      </x:c>
      <x:c r="D45" s="2" t="str">
        <x:f>IF(B45&gt;=C45,"Met","Below")</x:f>
        <x:v>Below</x:v>
      </x:c>
      <x:c r="E45" s="2"/>
      <x:c r="F45" s="2"/>
      <x:c r="G45" s="2"/>
      <x:c r="H45" s="2"/>
      <x:c r="I45" s="2"/>
      <x:c r="J45" s="2"/>
      <x:c r="K45" s="2"/>
      <x:c r="L45" s="2"/>
      <x:c r="M45" s="2"/>
    </x:row>
    <x:row r="46" ht="23" customHeight="1">
      <x:c r="A46" s="14" t="n">
        <x:f>Settings!$B$5+19</x:f>
        <x:v>46223.5</x:v>
      </x:c>
      <x:c r="B46" s="2" t="n">
        <x:f>SUMIFS(Activities[Units],Activities[Date],"&gt;="&amp;INT(A46),Activities[Date],"&lt;"&amp;(INT(A46)+1))</x:f>
        <x:v>12</x:v>
      </x:c>
      <x:c r="C46" s="2" t="n">
        <x:f>Settings!$B$7</x:f>
        <x:v>11</x:v>
      </x:c>
      <x:c r="D46" s="2" t="str">
        <x:f>IF(B46&gt;=C46,"Met","Below")</x:f>
        <x:v>Met</x:v>
      </x:c>
      <x:c r="E46" s="2"/>
      <x:c r="F46" s="2"/>
      <x:c r="G46" s="2"/>
      <x:c r="H46" s="2"/>
      <x:c r="I46" s="2"/>
      <x:c r="J46" s="2"/>
      <x:c r="K46" s="2"/>
      <x:c r="L46" s="2"/>
      <x:c r="M46" s="2"/>
    </x:row>
    <x:row r="47" ht="23" customHeight="1">
      <x:c r="A47" s="14" t="n">
        <x:f>Settings!$B$5+20</x:f>
        <x:v>46224.5</x:v>
      </x:c>
      <x:c r="B47" s="2" t="n">
        <x:f>SUMIFS(Activities[Units],Activities[Date],"&gt;="&amp;INT(A47),Activities[Date],"&lt;"&amp;(INT(A47)+1))</x:f>
        <x:v>8</x:v>
      </x:c>
      <x:c r="C47" s="2" t="n">
        <x:f>Settings!$B$7</x:f>
        <x:v>11</x:v>
      </x:c>
      <x:c r="D47" s="2" t="str">
        <x:f>IF(B47&gt;=C47,"Met","Below")</x:f>
        <x:v>Below</x:v>
      </x:c>
      <x:c r="E47" s="2"/>
      <x:c r="F47" s="2"/>
      <x:c r="G47" s="2"/>
      <x:c r="H47" s="2"/>
      <x:c r="I47" s="2"/>
      <x:c r="J47" s="2"/>
      <x:c r="K47" s="2"/>
      <x:c r="L47" s="2"/>
      <x:c r="M47" s="2"/>
    </x:row>
    <x:row r="48" ht="23" customHeight="1">
      <x:c r="A48" s="14" t="n">
        <x:f>Settings!$B$5+21</x:f>
        <x:v>46225.5</x:v>
      </x:c>
      <x:c r="B48" s="2" t="n">
        <x:f>SUMIFS(Activities[Units],Activities[Date],"&gt;="&amp;INT(A48),Activities[Date],"&lt;"&amp;(INT(A48)+1))</x:f>
        <x:v>12</x:v>
      </x:c>
      <x:c r="C48" s="2" t="n">
        <x:f>Settings!$B$7</x:f>
        <x:v>11</x:v>
      </x:c>
      <x:c r="D48" s="2" t="str">
        <x:f>IF(B48&gt;=C48,"Met","Below")</x:f>
        <x:v>Met</x:v>
      </x:c>
      <x:c r="E48" s="2"/>
      <x:c r="F48" s="2"/>
      <x:c r="G48" s="2"/>
      <x:c r="H48" s="2"/>
      <x:c r="I48" s="2"/>
      <x:c r="J48" s="2"/>
      <x:c r="K48" s="2"/>
      <x:c r="L48" s="2"/>
      <x:c r="M48" s="2"/>
    </x:row>
    <x:row r="49" ht="23" customHeight="1">
      <x:c r="A49" s="14" t="n">
        <x:f>Settings!$B$5+22</x:f>
        <x:v>46226.5</x:v>
      </x:c>
      <x:c r="B49" s="2" t="n">
        <x:f>SUMIFS(Activities[Units],Activities[Date],"&gt;="&amp;INT(A49),Activities[Date],"&lt;"&amp;(INT(A49)+1))</x:f>
        <x:v>9</x:v>
      </x:c>
      <x:c r="C49" s="2" t="n">
        <x:f>Settings!$B$7</x:f>
        <x:v>11</x:v>
      </x:c>
      <x:c r="D49" s="2" t="str">
        <x:f>IF(B49&gt;=C49,"Met","Below")</x:f>
        <x:v>Below</x:v>
      </x:c>
      <x:c r="E49" s="2"/>
      <x:c r="F49" s="2"/>
      <x:c r="G49" s="2"/>
      <x:c r="H49" s="2"/>
      <x:c r="I49" s="2"/>
      <x:c r="J49" s="2"/>
      <x:c r="K49" s="2"/>
      <x:c r="L49" s="2"/>
      <x:c r="M49" s="2"/>
    </x:row>
    <x:row r="50" ht="23" customHeight="1">
      <x:c r="A50" s="14" t="n">
        <x:f>Settings!$B$5+23</x:f>
        <x:v>46227.5</x:v>
      </x:c>
      <x:c r="B50" s="2" t="n">
        <x:f>SUMIFS(Activities[Units],Activities[Date],"&gt;="&amp;INT(A50),Activities[Date],"&lt;"&amp;(INT(A50)+1))</x:f>
        <x:v>10</x:v>
      </x:c>
      <x:c r="C50" s="2" t="n">
        <x:f>Settings!$B$7</x:f>
        <x:v>11</x:v>
      </x:c>
      <x:c r="D50" s="2" t="str">
        <x:f>IF(B50&gt;=C50,"Met","Below")</x:f>
        <x:v>Below</x:v>
      </x:c>
      <x:c r="E50" s="2"/>
      <x:c r="F50" s="2"/>
      <x:c r="G50" s="2"/>
      <x:c r="H50" s="2"/>
      <x:c r="I50" s="2"/>
      <x:c r="J50" s="2"/>
      <x:c r="K50" s="2"/>
      <x:c r="L50" s="2"/>
      <x:c r="M50" s="2"/>
    </x:row>
    <x:row r="51" ht="23" customHeight="1">
      <x:c r="A51" s="14" t="n">
        <x:f>Settings!$B$5+24</x:f>
        <x:v>46228.5</x:v>
      </x:c>
      <x:c r="B51" s="2" t="n">
        <x:f>SUMIFS(Activities[Units],Activities[Date],"&gt;="&amp;INT(A51),Activities[Date],"&lt;"&amp;(INT(A51)+1))</x:f>
        <x:v>10</x:v>
      </x:c>
      <x:c r="C51" s="2" t="n">
        <x:f>Settings!$B$7</x:f>
        <x:v>11</x:v>
      </x:c>
      <x:c r="D51" s="2" t="str">
        <x:f>IF(B51&gt;=C51,"Met","Below")</x:f>
        <x:v>Below</x:v>
      </x:c>
      <x:c r="E51" s="2"/>
      <x:c r="F51" s="2"/>
      <x:c r="G51" s="2"/>
      <x:c r="H51" s="2"/>
      <x:c r="I51" s="2"/>
      <x:c r="J51" s="2"/>
      <x:c r="K51" s="2"/>
      <x:c r="L51" s="2"/>
      <x:c r="M51" s="2"/>
    </x:row>
    <x:row r="52" ht="23" customHeight="1">
      <x:c r="A52" s="14" t="n">
        <x:f>Settings!$B$5+25</x:f>
        <x:v>46229.5</x:v>
      </x:c>
      <x:c r="B52" s="2" t="n">
        <x:f>SUMIFS(Activities[Units],Activities[Date],"&gt;="&amp;INT(A52),Activities[Date],"&lt;"&amp;(INT(A52)+1))</x:f>
        <x:v>12</x:v>
      </x:c>
      <x:c r="C52" s="2" t="n">
        <x:f>Settings!$B$7</x:f>
        <x:v>11</x:v>
      </x:c>
      <x:c r="D52" s="2" t="str">
        <x:f>IF(B52&gt;=C52,"Met","Below")</x:f>
        <x:v>Met</x:v>
      </x:c>
      <x:c r="E52" s="2"/>
      <x:c r="F52" s="2"/>
      <x:c r="G52" s="2"/>
      <x:c r="H52" s="2"/>
      <x:c r="I52" s="2"/>
      <x:c r="J52" s="2"/>
      <x:c r="K52" s="2"/>
      <x:c r="L52" s="2"/>
      <x:c r="M52" s="2"/>
    </x:row>
    <x:row r="53" ht="23" customHeight="1">
      <x:c r="A53" s="14" t="n">
        <x:f>Settings!$B$5+26</x:f>
        <x:v>46230.5</x:v>
      </x:c>
      <x:c r="B53" s="2" t="n">
        <x:f>SUMIFS(Activities[Units],Activities[Date],"&gt;="&amp;INT(A53),Activities[Date],"&lt;"&amp;(INT(A53)+1))</x:f>
        <x:v>9</x:v>
      </x:c>
      <x:c r="C53" s="2" t="n">
        <x:f>Settings!$B$7</x:f>
        <x:v>11</x:v>
      </x:c>
      <x:c r="D53" s="2" t="str">
        <x:f>IF(B53&gt;=C53,"Met","Below")</x:f>
        <x:v>Below</x:v>
      </x:c>
      <x:c r="E53" s="2"/>
      <x:c r="F53" s="2"/>
      <x:c r="G53" s="2"/>
      <x:c r="H53" s="2"/>
      <x:c r="I53" s="2"/>
      <x:c r="J53" s="2"/>
      <x:c r="K53" s="2"/>
      <x:c r="L53" s="2"/>
      <x:c r="M53" s="2"/>
    </x:row>
    <x:row r="54" ht="23" customHeight="1">
      <x:c r="A54" s="14" t="n">
        <x:f>Settings!$B$5+27</x:f>
        <x:v>46231.5</x:v>
      </x:c>
      <x:c r="B54" s="2" t="n">
        <x:f>SUMIFS(Activities[Units],Activities[Date],"&gt;="&amp;INT(A54),Activities[Date],"&lt;"&amp;(INT(A54)+1))</x:f>
        <x:v>9</x:v>
      </x:c>
      <x:c r="C54" s="2" t="n">
        <x:f>Settings!$B$7</x:f>
        <x:v>11</x:v>
      </x:c>
      <x:c r="D54" s="2" t="str">
        <x:f>IF(B54&gt;=C54,"Met","Below")</x:f>
        <x:v>Below</x:v>
      </x:c>
      <x:c r="E54" s="2"/>
      <x:c r="F54" s="2"/>
      <x:c r="G54" s="2"/>
      <x:c r="H54" s="2"/>
      <x:c r="I54" s="2"/>
      <x:c r="J54" s="2"/>
      <x:c r="K54" s="2"/>
      <x:c r="L54" s="2"/>
      <x:c r="M54" s="2"/>
    </x:row>
    <x:row r="55" ht="23" customHeight="1">
      <x:c r="A55" s="14" t="n">
        <x:f>Settings!$B$5+28</x:f>
        <x:v>46232.5</x:v>
      </x:c>
      <x:c r="B55" s="2" t="n">
        <x:f>SUMIFS(Activities[Units],Activities[Date],"&gt;="&amp;INT(A55),Activities[Date],"&lt;"&amp;(INT(A55)+1))</x:f>
        <x:v>9</x:v>
      </x:c>
      <x:c r="C55" s="2" t="n">
        <x:f>Settings!$B$7</x:f>
        <x:v>11</x:v>
      </x:c>
      <x:c r="D55" s="2" t="str">
        <x:f>IF(B55&gt;=C55,"Met","Below")</x:f>
        <x:v>Below</x:v>
      </x:c>
      <x:c r="E55" s="2"/>
      <x:c r="F55" s="2"/>
      <x:c r="G55" s="2"/>
      <x:c r="H55" s="2"/>
      <x:c r="I55" s="2"/>
      <x:c r="J55" s="2"/>
      <x:c r="K55" s="2"/>
      <x:c r="L55" s="2"/>
      <x:c r="M55" s="2"/>
    </x:row>
    <x:row r="56" ht="23" customHeight="1">
      <x:c r="A56" s="14" t="n">
        <x:f>Settings!$B$5+29</x:f>
        <x:v>46233.5</x:v>
      </x:c>
      <x:c r="B56" s="2" t="n">
        <x:f>SUMIFS(Activities[Units],Activities[Date],"&gt;="&amp;INT(A56),Activities[Date],"&lt;"&amp;(INT(A56)+1))</x:f>
        <x:v>12</x:v>
      </x:c>
      <x:c r="C56" s="2" t="n">
        <x:f>Settings!$B$7</x:f>
        <x:v>11</x:v>
      </x:c>
      <x:c r="D56" s="2" t="str">
        <x:f>IF(B56&gt;=C56,"Met","Below")</x:f>
        <x:v>Met</x:v>
      </x:c>
      <x:c r="E56" s="2"/>
      <x:c r="F56" s="2"/>
      <x:c r="G56" s="2"/>
      <x:c r="H56" s="2"/>
      <x:c r="I56" s="2"/>
      <x:c r="J56" s="2"/>
      <x:c r="K56" s="2"/>
      <x:c r="L56" s="2"/>
      <x:c r="M56" s="2"/>
    </x:row>
    <x:row r="57" ht="23" customHeight="1">
      <x:c r="A57" s="14" t="n">
        <x:f>Settings!$B$5+30</x:f>
        <x:v>46234.5</x:v>
      </x:c>
      <x:c r="B57" s="2" t="n">
        <x:f>SUMIFS(Activities[Units],Activities[Date],"&gt;="&amp;INT(A57),Activities[Date],"&lt;"&amp;(INT(A57)+1))</x:f>
        <x:v>8</x:v>
      </x:c>
      <x:c r="C57" s="2" t="n">
        <x:f>Settings!$B$7</x:f>
        <x:v>11</x:v>
      </x:c>
      <x:c r="D57" s="2" t="str">
        <x:f>IF(B57&gt;=C57,"Met","Below")</x:f>
        <x:v>Below</x:v>
      </x:c>
      <x:c r="E57" s="2"/>
      <x:c r="F57" s="2"/>
      <x:c r="G57" s="2"/>
      <x:c r="H57" s="2"/>
      <x:c r="I57" s="2"/>
      <x:c r="J57" s="2"/>
      <x:c r="K57" s="2"/>
      <x:c r="L57" s="2"/>
      <x:c r="M57" s="2"/>
    </x:row>
  </x:sheetData>
  <x:conditionalFormatting sqref="D27:D57">
    <x:cfRule type="containsText" dxfId="0" priority="1" operator="containsText" text="Below"/>
  </x:conditionalFormatting>
  <x:pageMargins left="0.7" right="0.7" top="0.75" bottom="0.75" header="0.3" footer="0.3"/>
  <x:drawing xmlns:r="http://schemas.openxmlformats.org/officeDocument/2006/relationships" r:id="R4cecc758682c4658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20" hidden="0" customWidth="1"/>
    <x:col min="4" max="4" width="24" hidden="0" customWidth="1"/>
    <x:col min="5" max="5" width="16" hidden="0" customWidth="1"/>
    <x:col min="6" max="6" width="12" hidden="0" customWidth="1"/>
    <x:col min="7" max="7" width="12" hidden="0" customWidth="1"/>
    <x:col min="8" max="8" width="13" hidden="0" customWidth="1"/>
    <x:col min="9" max="9" width="56" hidden="0" customWidth="1"/>
    <x:col min="10" max="10" width="2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3" t="str">
        <x:v>Activity records (fictional)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2" t="str">
        <x:v>New portfolio revision: September 11, 2026. Original records and goals retained.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0" customHeight="1">
      <x:c r="A6" s="6" t="str">
        <x:v>Date</x:v>
      </x:c>
      <x:c r="B6" s="6" t="str">
        <x:v>Time</x:v>
      </x:c>
      <x:c r="C6" s="6" t="str">
        <x:v>Interaction ID</x:v>
      </x:c>
      <x:c r="D6" s="6" t="str">
        <x:v>Product</x:v>
      </x:c>
      <x:c r="E6" s="6" t="str">
        <x:v>Outcome</x:v>
      </x:c>
      <x:c r="F6" s="6" t="str">
        <x:v>Units</x:v>
      </x:c>
      <x:c r="G6" s="6" t="str">
        <x:v>Points</x:v>
      </x:c>
      <x:c r="H6" s="6" t="str">
        <x:v>Follow-up</x:v>
      </x:c>
      <x:c r="I6" s="6" t="str">
        <x:v>Notes</x:v>
      </x:c>
      <x:c r="J6" s="6" t="str">
        <x:v>Original row</x:v>
      </x:c>
    </x:row>
    <x:row r="7" ht="23" customHeight="1">
      <x:c r="A7" s="7" t="n">
        <x:v>46204.5</x:v>
      </x:c>
      <x:c r="B7" s="2" t="str">
        <x:v>9:05 AM</x:v>
      </x:c>
      <x:c r="C7" s="2" t="str">
        <x:v>FAKE-01-001</x:v>
      </x:c>
      <x:c r="D7" s="2" t="str">
        <x:f>Settings!$A$15</x:f>
        <x:v>Plus Package</x:v>
      </x:c>
      <x:c r="E7" s="2" t="str">
        <x:v>Completed</x:v>
      </x:c>
      <x:c r="F7" s="11" t="n">
        <x:v>1</x:v>
      </x:c>
      <x:c r="G7" s="12" t="n">
        <x:f>F7*SUMIFS(Settings!$C$14:$C$17,Settings!$A$14:$A$17,D7)</x:f>
        <x:v>1.5</x:v>
      </x:c>
      <x:c r="H7" s="2" t="str">
        <x:v>No</x:v>
      </x:c>
      <x:c r="I7" s="2" t="str">
        <x:v>Completed the fictional selection.</x:v>
      </x:c>
      <x:c r="J7" s="2" t="str">
        <x:v>Day 01!A10:H10</x:v>
      </x:c>
    </x:row>
    <x:row r="8" ht="23" customHeight="1">
      <x:c r="A8" s="7" t="n">
        <x:v>46204.5</x:v>
      </x:c>
      <x:c r="B8" s="2" t="str">
        <x:v>9:35 AM</x:v>
      </x:c>
      <x:c r="C8" s="2" t="str">
        <x:v>FAKE-01-002</x:v>
      </x:c>
      <x:c r="D8" s="2" t="str">
        <x:f>Settings!$A$14</x:f>
        <x:v>Core Package</x:v>
      </x:c>
      <x:c r="E8" s="2" t="str">
        <x:v>Completed</x:v>
      </x:c>
      <x:c r="F8" s="11" t="n">
        <x:v>1</x:v>
      </x:c>
      <x:c r="G8" s="12" t="n">
        <x:f>F8*SUMIFS(Settings!$C$14:$C$17,Settings!$A$14:$A$17,D8)</x:f>
        <x:v>1</x:v>
      </x:c>
      <x:c r="H8" s="2" t="str">
        <x:v>No</x:v>
      </x:c>
      <x:c r="I8" s="2" t="str">
        <x:v>Completed the fictional selection.</x:v>
      </x:c>
      <x:c r="J8" s="2" t="str">
        <x:v>Day 01!A11:H11</x:v>
      </x:c>
    </x:row>
    <x:row r="9" ht="23" customHeight="1">
      <x:c r="A9" s="7" t="n">
        <x:v>46204.5</x:v>
      </x:c>
      <x:c r="B9" s="2" t="str">
        <x:v>10:05 AM</x:v>
      </x:c>
      <x:c r="C9" s="2" t="str">
        <x:v>FAKE-01-003</x:v>
      </x:c>
      <x:c r="D9" s="2" t="str">
        <x:f>Settings!$A$17</x:f>
        <x:v>Optional Add-on</x:v>
      </x:c>
      <x:c r="E9" s="2" t="str">
        <x:v>Follow-up</x:v>
      </x:c>
      <x:c r="F9" s="11" t="n">
        <x:v>0</x:v>
      </x:c>
      <x:c r="G9" s="12" t="n">
        <x:f>F9*SUMIFS(Settings!$C$14:$C$17,Settings!$A$14:$A$17,D9)</x:f>
        <x:v>0</x:v>
      </x:c>
      <x:c r="H9" s="2" t="str">
        <x:v>Yes</x:v>
      </x:c>
      <x:c r="I9" s="2" t="str">
        <x:v>Follow-up requested for a later date.</x:v>
      </x:c>
      <x:c r="J9" s="2" t="str">
        <x:v>Day 01!A12:H12</x:v>
      </x:c>
    </x:row>
    <x:row r="10" ht="23" customHeight="1">
      <x:c r="A10" s="7" t="n">
        <x:v>46204.5</x:v>
      </x:c>
      <x:c r="B10" s="2" t="str">
        <x:v>10:35 AM</x:v>
      </x:c>
      <x:c r="C10" s="2" t="str">
        <x:v>FAKE-01-004</x:v>
      </x:c>
      <x:c r="D10" s="2" t="str">
        <x:f>Settings!$A$16</x:f>
        <x:v>Premium Package</x:v>
      </x:c>
      <x:c r="E10" s="2" t="str">
        <x:v>No sale</x:v>
      </x:c>
      <x:c r="F10" s="11" t="n">
        <x:v>0</x:v>
      </x:c>
      <x:c r="G10" s="12" t="n">
        <x:f>F10*SUMIFS(Settings!$C$14:$C$17,Settings!$A$14:$A$17,D10)</x:f>
        <x:v>0</x:v>
      </x:c>
      <x:c r="H10" s="2" t="str">
        <x:v>No</x:v>
      </x:c>
      <x:c r="I10" s="2" t="str">
        <x:v>No selection made; no follow-up needed.</x:v>
      </x:c>
      <x:c r="J10" s="2" t="str">
        <x:v>Day 01!A13:H13</x:v>
      </x:c>
    </x:row>
    <x:row r="11" ht="23" customHeight="1">
      <x:c r="A11" s="7" t="n">
        <x:v>46204.5</x:v>
      </x:c>
      <x:c r="B11" s="2" t="str">
        <x:v>11:05 AM</x:v>
      </x:c>
      <x:c r="C11" s="2" t="str">
        <x:v>FAKE-01-005</x:v>
      </x:c>
      <x:c r="D11" s="2" t="str">
        <x:f>Settings!$A$15</x:f>
        <x:v>Plus Package</x:v>
      </x:c>
      <x:c r="E11" s="2" t="str">
        <x:v>Completed</x:v>
      </x:c>
      <x:c r="F11" s="11" t="n">
        <x:v>1</x:v>
      </x:c>
      <x:c r="G11" s="12" t="n">
        <x:f>F11*SUMIFS(Settings!$C$14:$C$17,Settings!$A$14:$A$17,D11)</x:f>
        <x:v>1.5</x:v>
      </x:c>
      <x:c r="H11" s="2" t="str">
        <x:v>No</x:v>
      </x:c>
      <x:c r="I11" s="2" t="str">
        <x:v>Completed the fictional selection.</x:v>
      </x:c>
      <x:c r="J11" s="2" t="str">
        <x:v>Day 01!A14:H14</x:v>
      </x:c>
    </x:row>
    <x:row r="12" ht="23" customHeight="1">
      <x:c r="A12" s="7" t="n">
        <x:v>46204.5</x:v>
      </x:c>
      <x:c r="B12" s="2" t="str">
        <x:v>11:35 AM</x:v>
      </x:c>
      <x:c r="C12" s="2" t="str">
        <x:v>FAKE-01-006</x:v>
      </x:c>
      <x:c r="D12" s="2" t="str">
        <x:f>Settings!$A$14</x:f>
        <x:v>Core Package</x:v>
      </x:c>
      <x:c r="E12" s="2" t="str">
        <x:v>Completed</x:v>
      </x:c>
      <x:c r="F12" s="11" t="n">
        <x:v>1</x:v>
      </x:c>
      <x:c r="G12" s="12" t="n">
        <x:f>F12*SUMIFS(Settings!$C$14:$C$17,Settings!$A$14:$A$17,D12)</x:f>
        <x:v>1</x:v>
      </x:c>
      <x:c r="H12" s="2" t="str">
        <x:v>No</x:v>
      </x:c>
      <x:c r="I12" s="2" t="str">
        <x:v>Completed the fictional selection.</x:v>
      </x:c>
      <x:c r="J12" s="2" t="str">
        <x:v>Day 01!A15:H15</x:v>
      </x:c>
    </x:row>
    <x:row r="13" ht="23" customHeight="1">
      <x:c r="A13" s="7" t="n">
        <x:v>46204.5</x:v>
      </x:c>
      <x:c r="B13" s="2" t="str">
        <x:v>12:05 PM</x:v>
      </x:c>
      <x:c r="C13" s="2" t="str">
        <x:v>FAKE-01-007</x:v>
      </x:c>
      <x:c r="D13" s="2" t="str">
        <x:f>Settings!$A$17</x:f>
        <x:v>Optional Add-on</x:v>
      </x:c>
      <x:c r="E13" s="2" t="str">
        <x:v>Completed</x:v>
      </x:c>
      <x:c r="F13" s="11" t="n">
        <x:v>1</x:v>
      </x:c>
      <x:c r="G13" s="12" t="n">
        <x:f>F13*SUMIFS(Settings!$C$14:$C$17,Settings!$A$14:$A$17,D13)</x:f>
        <x:v>0.5</x:v>
      </x:c>
      <x:c r="H13" s="2" t="str">
        <x:v>No</x:v>
      </x:c>
      <x:c r="I13" s="2" t="str">
        <x:v>Completed the fictional selection.</x:v>
      </x:c>
      <x:c r="J13" s="2" t="str">
        <x:v>Day 01!A16:H16</x:v>
      </x:c>
    </x:row>
    <x:row r="14" ht="23" customHeight="1">
      <x:c r="A14" s="7" t="n">
        <x:v>46204.5</x:v>
      </x:c>
      <x:c r="B14" s="2" t="str">
        <x:v>12:35 PM</x:v>
      </x:c>
      <x:c r="C14" s="2" t="str">
        <x:v>FAKE-01-008</x:v>
      </x:c>
      <x:c r="D14" s="2" t="str">
        <x:f>Settings!$A$16</x:f>
        <x:v>Premium Package</x:v>
      </x:c>
      <x:c r="E14" s="2" t="str">
        <x:v>Follow-up</x:v>
      </x:c>
      <x:c r="F14" s="11" t="n">
        <x:v>0</x:v>
      </x:c>
      <x:c r="G14" s="12" t="n">
        <x:f>F14*SUMIFS(Settings!$C$14:$C$17,Settings!$A$14:$A$17,D14)</x:f>
        <x:v>0</x:v>
      </x:c>
      <x:c r="H14" s="2" t="str">
        <x:v>Yes</x:v>
      </x:c>
      <x:c r="I14" s="2" t="str">
        <x:v>Follow-up requested for a later date.</x:v>
      </x:c>
      <x:c r="J14" s="2" t="str">
        <x:v>Day 01!A17:H17</x:v>
      </x:c>
    </x:row>
    <x:row r="15" ht="23" customHeight="1">
      <x:c r="A15" s="7" t="n">
        <x:v>46204.5</x:v>
      </x:c>
      <x:c r="B15" s="2" t="str">
        <x:v>1:05 PM</x:v>
      </x:c>
      <x:c r="C15" s="2" t="str">
        <x:v>FAKE-01-009</x:v>
      </x:c>
      <x:c r="D15" s="2" t="str">
        <x:f>Settings!$A$15</x:f>
        <x:v>Plus Package</x:v>
      </x:c>
      <x:c r="E15" s="2" t="str">
        <x:v>No sale</x:v>
      </x:c>
      <x:c r="F15" s="11" t="n">
        <x:v>0</x:v>
      </x:c>
      <x:c r="G15" s="12" t="n">
        <x:f>F15*SUMIFS(Settings!$C$14:$C$17,Settings!$A$14:$A$17,D15)</x:f>
        <x:v>0</x:v>
      </x:c>
      <x:c r="H15" s="2" t="str">
        <x:v>No</x:v>
      </x:c>
      <x:c r="I15" s="2" t="str">
        <x:v>No selection made; no follow-up needed.</x:v>
      </x:c>
      <x:c r="J15" s="2" t="str">
        <x:v>Day 01!A18:H18</x:v>
      </x:c>
    </x:row>
    <x:row r="16" ht="23" customHeight="1">
      <x:c r="A16" s="7" t="n">
        <x:v>46204.5</x:v>
      </x:c>
      <x:c r="B16" s="2" t="str">
        <x:v>1:35 PM</x:v>
      </x:c>
      <x:c r="C16" s="2" t="str">
        <x:v>FAKE-01-010</x:v>
      </x:c>
      <x:c r="D16" s="2" t="str">
        <x:f>Settings!$A$14</x:f>
        <x:v>Core Package</x:v>
      </x:c>
      <x:c r="E16" s="2" t="str">
        <x:v>Completed</x:v>
      </x:c>
      <x:c r="F16" s="11" t="n">
        <x:v>1</x:v>
      </x:c>
      <x:c r="G16" s="12" t="n">
        <x:f>F16*SUMIFS(Settings!$C$14:$C$17,Settings!$A$14:$A$17,D16)</x:f>
        <x:v>1</x:v>
      </x:c>
      <x:c r="H16" s="2" t="str">
        <x:v>No</x:v>
      </x:c>
      <x:c r="I16" s="2" t="str">
        <x:v>Completed the fictional selection.</x:v>
      </x:c>
      <x:c r="J16" s="2" t="str">
        <x:v>Day 01!A19:H19</x:v>
      </x:c>
    </x:row>
    <x:row r="17" ht="23" customHeight="1">
      <x:c r="A17" s="7" t="n">
        <x:v>46204.5</x:v>
      </x:c>
      <x:c r="B17" s="2" t="str">
        <x:v>2:05 PM</x:v>
      </x:c>
      <x:c r="C17" s="2" t="str">
        <x:v>FAKE-01-011</x:v>
      </x:c>
      <x:c r="D17" s="2" t="str">
        <x:f>Settings!$A$17</x:f>
        <x:v>Optional Add-on</x:v>
      </x:c>
      <x:c r="E17" s="2" t="str">
        <x:v>Completed</x:v>
      </x:c>
      <x:c r="F17" s="11" t="n">
        <x:v>1</x:v>
      </x:c>
      <x:c r="G17" s="12" t="n">
        <x:f>F17*SUMIFS(Settings!$C$14:$C$17,Settings!$A$14:$A$17,D17)</x:f>
        <x:v>0.5</x:v>
      </x:c>
      <x:c r="H17" s="2" t="str">
        <x:v>No</x:v>
      </x:c>
      <x:c r="I17" s="2" t="str">
        <x:v>Completed the fictional selection.</x:v>
      </x:c>
      <x:c r="J17" s="2" t="str">
        <x:v>Day 01!A20:H20</x:v>
      </x:c>
    </x:row>
    <x:row r="18" ht="23" customHeight="1">
      <x:c r="A18" s="7" t="n">
        <x:v>46204.5</x:v>
      </x:c>
      <x:c r="B18" s="2" t="str">
        <x:v>2:35 PM</x:v>
      </x:c>
      <x:c r="C18" s="2" t="str">
        <x:v>FAKE-01-012</x:v>
      </x:c>
      <x:c r="D18" s="2" t="str">
        <x:f>Settings!$A$16</x:f>
        <x:v>Premium Package</x:v>
      </x:c>
      <x:c r="E18" s="2" t="str">
        <x:v>Completed</x:v>
      </x:c>
      <x:c r="F18" s="11" t="n">
        <x:v>1</x:v>
      </x:c>
      <x:c r="G18" s="12" t="n">
        <x:f>F18*SUMIFS(Settings!$C$14:$C$17,Settings!$A$14:$A$17,D18)</x:f>
        <x:v>2</x:v>
      </x:c>
      <x:c r="H18" s="2" t="str">
        <x:v>No</x:v>
      </x:c>
      <x:c r="I18" s="2" t="str">
        <x:v>Completed the fictional selection.</x:v>
      </x:c>
      <x:c r="J18" s="2" t="str">
        <x:v>Day 01!A21:H21</x:v>
      </x:c>
    </x:row>
    <x:row r="19" ht="23" customHeight="1">
      <x:c r="A19" s="7" t="n">
        <x:v>46204.5</x:v>
      </x:c>
      <x:c r="B19" s="2" t="str">
        <x:v>3:05 PM</x:v>
      </x:c>
      <x:c r="C19" s="2" t="str">
        <x:v>FAKE-01-013</x:v>
      </x:c>
      <x:c r="D19" s="2" t="str">
        <x:f>Settings!$A$15</x:f>
        <x:v>Plus Package</x:v>
      </x:c>
      <x:c r="E19" s="2" t="str">
        <x:v>Follow-up</x:v>
      </x:c>
      <x:c r="F19" s="11" t="n">
        <x:v>0</x:v>
      </x:c>
      <x:c r="G19" s="12" t="n">
        <x:f>F19*SUMIFS(Settings!$C$14:$C$17,Settings!$A$14:$A$17,D19)</x:f>
        <x:v>0</x:v>
      </x:c>
      <x:c r="H19" s="2" t="str">
        <x:v>Yes</x:v>
      </x:c>
      <x:c r="I19" s="2" t="str">
        <x:v>Follow-up requested for a later date.</x:v>
      </x:c>
      <x:c r="J19" s="2" t="str">
        <x:v>Day 01!A22:H22</x:v>
      </x:c>
    </x:row>
    <x:row r="20" ht="23" customHeight="1">
      <x:c r="A20" s="7" t="n">
        <x:v>46204.5</x:v>
      </x:c>
      <x:c r="B20" s="2" t="str">
        <x:v>3:35 PM</x:v>
      </x:c>
      <x:c r="C20" s="2" t="str">
        <x:v>FAKE-01-014</x:v>
      </x:c>
      <x:c r="D20" s="2" t="str">
        <x:f>Settings!$A$14</x:f>
        <x:v>Core Package</x:v>
      </x:c>
      <x:c r="E20" s="2" t="str">
        <x:v>No sale</x:v>
      </x:c>
      <x:c r="F20" s="11" t="n">
        <x:v>0</x:v>
      </x:c>
      <x:c r="G20" s="12" t="n">
        <x:f>F20*SUMIFS(Settings!$C$14:$C$17,Settings!$A$14:$A$17,D20)</x:f>
        <x:v>0</x:v>
      </x:c>
      <x:c r="H20" s="2" t="str">
        <x:v>No</x:v>
      </x:c>
      <x:c r="I20" s="2" t="str">
        <x:v>No selection made; no follow-up needed.</x:v>
      </x:c>
      <x:c r="J20" s="2" t="str">
        <x:v>Day 01!A23:H23</x:v>
      </x:c>
    </x:row>
    <x:row r="21" ht="23" customHeight="1">
      <x:c r="A21" s="7" t="n">
        <x:v>46204.5</x:v>
      </x:c>
      <x:c r="B21" s="2" t="str">
        <x:v>4:05 PM</x:v>
      </x:c>
      <x:c r="C21" s="2" t="str">
        <x:v>FAKE-01-015</x:v>
      </x:c>
      <x:c r="D21" s="2" t="str">
        <x:f>Settings!$A$17</x:f>
        <x:v>Optional Add-on</x:v>
      </x:c>
      <x:c r="E21" s="2" t="str">
        <x:v>Completed</x:v>
      </x:c>
      <x:c r="F21" s="11" t="n">
        <x:v>1</x:v>
      </x:c>
      <x:c r="G21" s="12" t="n">
        <x:f>F21*SUMIFS(Settings!$C$14:$C$17,Settings!$A$14:$A$17,D21)</x:f>
        <x:v>0.5</x:v>
      </x:c>
      <x:c r="H21" s="2" t="str">
        <x:v>No</x:v>
      </x:c>
      <x:c r="I21" s="2" t="str">
        <x:v>Completed the fictional selection.</x:v>
      </x:c>
      <x:c r="J21" s="2" t="str">
        <x:v>Day 01!A24:H24</x:v>
      </x:c>
    </x:row>
    <x:row r="22" ht="23" customHeight="1">
      <x:c r="A22" s="7" t="n">
        <x:v>46204.5</x:v>
      </x:c>
      <x:c r="B22" s="2" t="str">
        <x:v>4:35 PM</x:v>
      </x:c>
      <x:c r="C22" s="2" t="str">
        <x:v>FAKE-01-016</x:v>
      </x:c>
      <x:c r="D22" s="2" t="str">
        <x:f>Settings!$A$16</x:f>
        <x:v>Premium Package</x:v>
      </x:c>
      <x:c r="E22" s="2" t="str">
        <x:v>Completed</x:v>
      </x:c>
      <x:c r="F22" s="11" t="n">
        <x:v>1</x:v>
      </x:c>
      <x:c r="G22" s="12" t="n">
        <x:f>F22*SUMIFS(Settings!$C$14:$C$17,Settings!$A$14:$A$17,D22)</x:f>
        <x:v>2</x:v>
      </x:c>
      <x:c r="H22" s="2" t="str">
        <x:v>No</x:v>
      </x:c>
      <x:c r="I22" s="2" t="str">
        <x:v>Completed the fictional selection.</x:v>
      </x:c>
      <x:c r="J22" s="2" t="str">
        <x:v>Day 01!A25:H25</x:v>
      </x:c>
    </x:row>
    <x:row r="23" ht="23" customHeight="1">
      <x:c r="A23" s="7" t="n">
        <x:v>46204.5</x:v>
      </x:c>
      <x:c r="B23" s="2" t="str">
        <x:v>5:05 PM</x:v>
      </x:c>
      <x:c r="C23" s="2" t="str">
        <x:v>FAKE-01-017</x:v>
      </x:c>
      <x:c r="D23" s="2" t="str">
        <x:f>Settings!$A$15</x:f>
        <x:v>Plus Package</x:v>
      </x:c>
      <x:c r="E23" s="2" t="str">
        <x:v>Completed</x:v>
      </x:c>
      <x:c r="F23" s="11" t="n">
        <x:v>1</x:v>
      </x:c>
      <x:c r="G23" s="12" t="n">
        <x:f>F23*SUMIFS(Settings!$C$14:$C$17,Settings!$A$14:$A$17,D23)</x:f>
        <x:v>1.5</x:v>
      </x:c>
      <x:c r="H23" s="2" t="str">
        <x:v>No</x:v>
      </x:c>
      <x:c r="I23" s="2" t="str">
        <x:v>Completed the fictional selection.</x:v>
      </x:c>
      <x:c r="J23" s="2" t="str">
        <x:v>Day 01!A26:H26</x:v>
      </x:c>
    </x:row>
    <x:row r="24" ht="23" customHeight="1">
      <x:c r="A24" s="7" t="n">
        <x:v>46205.5</x:v>
      </x:c>
      <x:c r="B24" s="2" t="str">
        <x:v>9:05 AM</x:v>
      </x:c>
      <x:c r="C24" s="2" t="str">
        <x:v>FAKE-02-001</x:v>
      </x:c>
      <x:c r="D24" s="2" t="str">
        <x:f>Settings!$A$16</x:f>
        <x:v>Premium Package</x:v>
      </x:c>
      <x:c r="E24" s="2" t="str">
        <x:v>Follow-up</x:v>
      </x:c>
      <x:c r="F24" s="11" t="n">
        <x:v>0</x:v>
      </x:c>
      <x:c r="G24" s="12" t="n">
        <x:f>F24*SUMIFS(Settings!$C$14:$C$17,Settings!$A$14:$A$17,D24)</x:f>
        <x:v>0</x:v>
      </x:c>
      <x:c r="H24" s="2" t="str">
        <x:v>Yes</x:v>
      </x:c>
      <x:c r="I24" s="2" t="str">
        <x:v>Follow-up requested for a later date.</x:v>
      </x:c>
      <x:c r="J24" s="2" t="str">
        <x:v>Day 02!A10:H10</x:v>
      </x:c>
    </x:row>
    <x:row r="25" ht="23" customHeight="1">
      <x:c r="A25" s="7" t="n">
        <x:v>46205.5</x:v>
      </x:c>
      <x:c r="B25" s="2" t="str">
        <x:v>9:35 AM</x:v>
      </x:c>
      <x:c r="C25" s="2" t="str">
        <x:v>FAKE-02-002</x:v>
      </x:c>
      <x:c r="D25" s="2" t="str">
        <x:f>Settings!$A$15</x:f>
        <x:v>Plus Package</x:v>
      </x:c>
      <x:c r="E25" s="2" t="str">
        <x:v>No sale</x:v>
      </x:c>
      <x:c r="F25" s="11" t="n">
        <x:v>0</x:v>
      </x:c>
      <x:c r="G25" s="12" t="n">
        <x:f>F25*SUMIFS(Settings!$C$14:$C$17,Settings!$A$14:$A$17,D25)</x:f>
        <x:v>0</x:v>
      </x:c>
      <x:c r="H25" s="2" t="str">
        <x:v>No</x:v>
      </x:c>
      <x:c r="I25" s="2" t="str">
        <x:v>No selection made; no follow-up needed.</x:v>
      </x:c>
      <x:c r="J25" s="2" t="str">
        <x:v>Day 02!A11:H11</x:v>
      </x:c>
    </x:row>
    <x:row r="26" ht="23" customHeight="1">
      <x:c r="A26" s="7" t="n">
        <x:v>46205.5</x:v>
      </x:c>
      <x:c r="B26" s="2" t="str">
        <x:v>10:05 AM</x:v>
      </x:c>
      <x:c r="C26" s="2" t="str">
        <x:v>FAKE-02-003</x:v>
      </x:c>
      <x:c r="D26" s="2" t="str">
        <x:f>Settings!$A$14</x:f>
        <x:v>Core Package</x:v>
      </x:c>
      <x:c r="E26" s="2" t="str">
        <x:v>Completed</x:v>
      </x:c>
      <x:c r="F26" s="11" t="n">
        <x:v>2</x:v>
      </x:c>
      <x:c r="G26" s="12" t="n">
        <x:f>F26*SUMIFS(Settings!$C$14:$C$17,Settings!$A$14:$A$17,D26)</x:f>
        <x:v>2</x:v>
      </x:c>
      <x:c r="H26" s="2" t="str">
        <x:v>No</x:v>
      </x:c>
      <x:c r="I26" s="2" t="str">
        <x:v>Completed the fictional selection.</x:v>
      </x:c>
      <x:c r="J26" s="2" t="str">
        <x:v>Day 02!A12:H12</x:v>
      </x:c>
    </x:row>
    <x:row r="27" ht="23" customHeight="1">
      <x:c r="A27" s="7" t="n">
        <x:v>46205.5</x:v>
      </x:c>
      <x:c r="B27" s="2" t="str">
        <x:v>10:35 AM</x:v>
      </x:c>
      <x:c r="C27" s="2" t="str">
        <x:v>FAKE-02-004</x:v>
      </x:c>
      <x:c r="D27" s="2" t="str">
        <x:f>Settings!$A$17</x:f>
        <x:v>Optional Add-on</x:v>
      </x:c>
      <x:c r="E27" s="2" t="str">
        <x:v>Completed</x:v>
      </x:c>
      <x:c r="F27" s="11" t="n">
        <x:v>1</x:v>
      </x:c>
      <x:c r="G27" s="12" t="n">
        <x:f>F27*SUMIFS(Settings!$C$14:$C$17,Settings!$A$14:$A$17,D27)</x:f>
        <x:v>0.5</x:v>
      </x:c>
      <x:c r="H27" s="2" t="str">
        <x:v>No</x:v>
      </x:c>
      <x:c r="I27" s="2" t="str">
        <x:v>Completed the fictional selection.</x:v>
      </x:c>
      <x:c r="J27" s="2" t="str">
        <x:v>Day 02!A13:H13</x:v>
      </x:c>
    </x:row>
    <x:row r="28" ht="23" customHeight="1">
      <x:c r="A28" s="7" t="n">
        <x:v>46205.5</x:v>
      </x:c>
      <x:c r="B28" s="2" t="str">
        <x:v>11:05 AM</x:v>
      </x:c>
      <x:c r="C28" s="2" t="str">
        <x:v>FAKE-02-005</x:v>
      </x:c>
      <x:c r="D28" s="2" t="str">
        <x:f>Settings!$A$16</x:f>
        <x:v>Premium Package</x:v>
      </x:c>
      <x:c r="E28" s="2" t="str">
        <x:v>Completed</x:v>
      </x:c>
      <x:c r="F28" s="11" t="n">
        <x:v>1</x:v>
      </x:c>
      <x:c r="G28" s="12" t="n">
        <x:f>F28*SUMIFS(Settings!$C$14:$C$17,Settings!$A$14:$A$17,D28)</x:f>
        <x:v>2</x:v>
      </x:c>
      <x:c r="H28" s="2" t="str">
        <x:v>No</x:v>
      </x:c>
      <x:c r="I28" s="2" t="str">
        <x:v>Completed the fictional selection.</x:v>
      </x:c>
      <x:c r="J28" s="2" t="str">
        <x:v>Day 02!A14:H14</x:v>
      </x:c>
    </x:row>
    <x:row r="29" ht="23" customHeight="1">
      <x:c r="A29" s="7" t="n">
        <x:v>46205.5</x:v>
      </x:c>
      <x:c r="B29" s="2" t="str">
        <x:v>11:35 AM</x:v>
      </x:c>
      <x:c r="C29" s="2" t="str">
        <x:v>FAKE-02-006</x:v>
      </x:c>
      <x:c r="D29" s="2" t="str">
        <x:f>Settings!$A$15</x:f>
        <x:v>Plus Package</x:v>
      </x:c>
      <x:c r="E29" s="2" t="str">
        <x:v>Follow-up</x:v>
      </x:c>
      <x:c r="F29" s="11" t="n">
        <x:v>0</x:v>
      </x:c>
      <x:c r="G29" s="12" t="n">
        <x:f>F29*SUMIFS(Settings!$C$14:$C$17,Settings!$A$14:$A$17,D29)</x:f>
        <x:v>0</x:v>
      </x:c>
      <x:c r="H29" s="2" t="str">
        <x:v>Yes</x:v>
      </x:c>
      <x:c r="I29" s="2" t="str">
        <x:v>Follow-up requested for a later date.</x:v>
      </x:c>
      <x:c r="J29" s="2" t="str">
        <x:v>Day 02!A15:H15</x:v>
      </x:c>
    </x:row>
    <x:row r="30" ht="23" customHeight="1">
      <x:c r="A30" s="7" t="n">
        <x:v>46205.5</x:v>
      </x:c>
      <x:c r="B30" s="2" t="str">
        <x:v>12:05 PM</x:v>
      </x:c>
      <x:c r="C30" s="2" t="str">
        <x:v>FAKE-02-007</x:v>
      </x:c>
      <x:c r="D30" s="2" t="str">
        <x:f>Settings!$A$14</x:f>
        <x:v>Core Package</x:v>
      </x:c>
      <x:c r="E30" s="2" t="str">
        <x:v>No sale</x:v>
      </x:c>
      <x:c r="F30" s="11" t="n">
        <x:v>0</x:v>
      </x:c>
      <x:c r="G30" s="12" t="n">
        <x:f>F30*SUMIFS(Settings!$C$14:$C$17,Settings!$A$14:$A$17,D30)</x:f>
        <x:v>0</x:v>
      </x:c>
      <x:c r="H30" s="2" t="str">
        <x:v>No</x:v>
      </x:c>
      <x:c r="I30" s="2" t="str">
        <x:v>No selection made; no follow-up needed.</x:v>
      </x:c>
      <x:c r="J30" s="2" t="str">
        <x:v>Day 02!A16:H16</x:v>
      </x:c>
    </x:row>
    <x:row r="31" ht="23" customHeight="1">
      <x:c r="A31" s="7" t="n">
        <x:v>46205.5</x:v>
      </x:c>
      <x:c r="B31" s="2" t="str">
        <x:v>12:35 PM</x:v>
      </x:c>
      <x:c r="C31" s="2" t="str">
        <x:v>FAKE-02-008</x:v>
      </x:c>
      <x:c r="D31" s="2" t="str">
        <x:f>Settings!$A$17</x:f>
        <x:v>Optional Add-on</x:v>
      </x:c>
      <x:c r="E31" s="2" t="str">
        <x:v>Completed</x:v>
      </x:c>
      <x:c r="F31" s="11" t="n">
        <x:v>2</x:v>
      </x:c>
      <x:c r="G31" s="12" t="n">
        <x:f>F31*SUMIFS(Settings!$C$14:$C$17,Settings!$A$14:$A$17,D31)</x:f>
        <x:v>1</x:v>
      </x:c>
      <x:c r="H31" s="2" t="str">
        <x:v>No</x:v>
      </x:c>
      <x:c r="I31" s="2" t="str">
        <x:v>Completed the fictional selection.</x:v>
      </x:c>
      <x:c r="J31" s="2" t="str">
        <x:v>Day 02!A17:H17</x:v>
      </x:c>
    </x:row>
    <x:row r="32" ht="23" customHeight="1">
      <x:c r="A32" s="7" t="n">
        <x:v>46205.5</x:v>
      </x:c>
      <x:c r="B32" s="2" t="str">
        <x:v>1:05 PM</x:v>
      </x:c>
      <x:c r="C32" s="2" t="str">
        <x:v>FAKE-02-009</x:v>
      </x:c>
      <x:c r="D32" s="2" t="str">
        <x:f>Settings!$A$16</x:f>
        <x:v>Premium Package</x:v>
      </x:c>
      <x:c r="E32" s="2" t="str">
        <x:v>Completed</x:v>
      </x:c>
      <x:c r="F32" s="11" t="n">
        <x:v>1</x:v>
      </x:c>
      <x:c r="G32" s="12" t="n">
        <x:f>F32*SUMIFS(Settings!$C$14:$C$17,Settings!$A$14:$A$17,D32)</x:f>
        <x:v>2</x:v>
      </x:c>
      <x:c r="H32" s="2" t="str">
        <x:v>No</x:v>
      </x:c>
      <x:c r="I32" s="2" t="str">
        <x:v>Completed the fictional selection.</x:v>
      </x:c>
      <x:c r="J32" s="2" t="str">
        <x:v>Day 02!A18:H18</x:v>
      </x:c>
    </x:row>
    <x:row r="33" ht="23" customHeight="1">
      <x:c r="A33" s="7" t="n">
        <x:v>46205.5</x:v>
      </x:c>
      <x:c r="B33" s="2" t="str">
        <x:v>1:35 PM</x:v>
      </x:c>
      <x:c r="C33" s="2" t="str">
        <x:v>FAKE-02-010</x:v>
      </x:c>
      <x:c r="D33" s="2" t="str">
        <x:f>Settings!$A$15</x:f>
        <x:v>Plus Package</x:v>
      </x:c>
      <x:c r="E33" s="2" t="str">
        <x:v>Completed</x:v>
      </x:c>
      <x:c r="F33" s="11" t="n">
        <x:v>1</x:v>
      </x:c>
      <x:c r="G33" s="12" t="n">
        <x:f>F33*SUMIFS(Settings!$C$14:$C$17,Settings!$A$14:$A$17,D33)</x:f>
        <x:v>1.5</x:v>
      </x:c>
      <x:c r="H33" s="2" t="str">
        <x:v>No</x:v>
      </x:c>
      <x:c r="I33" s="2" t="str">
        <x:v>Completed the fictional selection.</x:v>
      </x:c>
      <x:c r="J33" s="2" t="str">
        <x:v>Day 02!A19:H19</x:v>
      </x:c>
    </x:row>
    <x:row r="34" ht="23" customHeight="1">
      <x:c r="A34" s="7" t="n">
        <x:v>46205.5</x:v>
      </x:c>
      <x:c r="B34" s="2" t="str">
        <x:v>2:05 PM</x:v>
      </x:c>
      <x:c r="C34" s="2" t="str">
        <x:v>FAKE-02-011</x:v>
      </x:c>
      <x:c r="D34" s="2" t="str">
        <x:f>Settings!$A$14</x:f>
        <x:v>Core Package</x:v>
      </x:c>
      <x:c r="E34" s="2" t="str">
        <x:v>Follow-up</x:v>
      </x:c>
      <x:c r="F34" s="11" t="n">
        <x:v>0</x:v>
      </x:c>
      <x:c r="G34" s="12" t="n">
        <x:f>F34*SUMIFS(Settings!$C$14:$C$17,Settings!$A$14:$A$17,D34)</x:f>
        <x:v>0</x:v>
      </x:c>
      <x:c r="H34" s="2" t="str">
        <x:v>Yes</x:v>
      </x:c>
      <x:c r="I34" s="2" t="str">
        <x:v>Follow-up requested for a later date.</x:v>
      </x:c>
      <x:c r="J34" s="2" t="str">
        <x:v>Day 02!A20:H20</x:v>
      </x:c>
    </x:row>
    <x:row r="35" ht="23" customHeight="1">
      <x:c r="A35" s="7" t="n">
        <x:v>46205.5</x:v>
      </x:c>
      <x:c r="B35" s="2" t="str">
        <x:v>2:35 PM</x:v>
      </x:c>
      <x:c r="C35" s="2" t="str">
        <x:v>FAKE-02-012</x:v>
      </x:c>
      <x:c r="D35" s="2" t="str">
        <x:f>Settings!$A$17</x:f>
        <x:v>Optional Add-on</x:v>
      </x:c>
      <x:c r="E35" s="2" t="str">
        <x:v>No sale</x:v>
      </x:c>
      <x:c r="F35" s="11" t="n">
        <x:v>0</x:v>
      </x:c>
      <x:c r="G35" s="12" t="n">
        <x:f>F35*SUMIFS(Settings!$C$14:$C$17,Settings!$A$14:$A$17,D35)</x:f>
        <x:v>0</x:v>
      </x:c>
      <x:c r="H35" s="2" t="str">
        <x:v>No</x:v>
      </x:c>
      <x:c r="I35" s="2" t="str">
        <x:v>No selection made; no follow-up needed.</x:v>
      </x:c>
      <x:c r="J35" s="2" t="str">
        <x:v>Day 02!A21:H21</x:v>
      </x:c>
    </x:row>
    <x:row r="36" ht="23" customHeight="1">
      <x:c r="A36" s="7" t="n">
        <x:v>46205.5</x:v>
      </x:c>
      <x:c r="B36" s="2" t="str">
        <x:v>3:05 PM</x:v>
      </x:c>
      <x:c r="C36" s="2" t="str">
        <x:v>FAKE-02-013</x:v>
      </x:c>
      <x:c r="D36" s="2" t="str">
        <x:f>Settings!$A$16</x:f>
        <x:v>Premium Package</x:v>
      </x:c>
      <x:c r="E36" s="2" t="str">
        <x:v>Completed</x:v>
      </x:c>
      <x:c r="F36" s="11" t="n">
        <x:v>2</x:v>
      </x:c>
      <x:c r="G36" s="12" t="n">
        <x:f>F36*SUMIFS(Settings!$C$14:$C$17,Settings!$A$14:$A$17,D36)</x:f>
        <x:v>4</x:v>
      </x:c>
      <x:c r="H36" s="2" t="str">
        <x:v>No</x:v>
      </x:c>
      <x:c r="I36" s="2" t="str">
        <x:v>Completed the fictional selection.</x:v>
      </x:c>
      <x:c r="J36" s="2" t="str">
        <x:v>Day 02!A22:H22</x:v>
      </x:c>
    </x:row>
    <x:row r="37" ht="23" customHeight="1">
      <x:c r="A37" s="7" t="n">
        <x:v>46205.5</x:v>
      </x:c>
      <x:c r="B37" s="2" t="str">
        <x:v>3:35 PM</x:v>
      </x:c>
      <x:c r="C37" s="2" t="str">
        <x:v>FAKE-02-014</x:v>
      </x:c>
      <x:c r="D37" s="2" t="str">
        <x:f>Settings!$A$15</x:f>
        <x:v>Plus Package</x:v>
      </x:c>
      <x:c r="E37" s="2" t="str">
        <x:v>Completed</x:v>
      </x:c>
      <x:c r="F37" s="11" t="n">
        <x:v>1</x:v>
      </x:c>
      <x:c r="G37" s="12" t="n">
        <x:f>F37*SUMIFS(Settings!$C$14:$C$17,Settings!$A$14:$A$17,D37)</x:f>
        <x:v>1.5</x:v>
      </x:c>
      <x:c r="H37" s="2" t="str">
        <x:v>No</x:v>
      </x:c>
      <x:c r="I37" s="2" t="str">
        <x:v>Completed the fictional selection.</x:v>
      </x:c>
      <x:c r="J37" s="2" t="str">
        <x:v>Day 02!A23:H23</x:v>
      </x:c>
    </x:row>
    <x:row r="38" ht="23" customHeight="1">
      <x:c r="A38" s="7" t="n">
        <x:v>46205.5</x:v>
      </x:c>
      <x:c r="B38" s="2" t="str">
        <x:v>4:05 PM</x:v>
      </x:c>
      <x:c r="C38" s="2" t="str">
        <x:v>FAKE-02-015</x:v>
      </x:c>
      <x:c r="D38" s="2" t="str">
        <x:f>Settings!$A$14</x:f>
        <x:v>Core Package</x:v>
      </x:c>
      <x:c r="E38" s="2" t="str">
        <x:v>Completed</x:v>
      </x:c>
      <x:c r="F38" s="11" t="n">
        <x:v>1</x:v>
      </x:c>
      <x:c r="G38" s="12" t="n">
        <x:f>F38*SUMIFS(Settings!$C$14:$C$17,Settings!$A$14:$A$17,D38)</x:f>
        <x:v>1</x:v>
      </x:c>
      <x:c r="H38" s="2" t="str">
        <x:v>No</x:v>
      </x:c>
      <x:c r="I38" s="2" t="str">
        <x:v>Completed the fictional selection.</x:v>
      </x:c>
      <x:c r="J38" s="2" t="str">
        <x:v>Day 02!A24:H24</x:v>
      </x:c>
    </x:row>
    <x:row r="39" ht="23" customHeight="1">
      <x:c r="A39" s="7" t="n">
        <x:v>46206.5</x:v>
      </x:c>
      <x:c r="B39" s="2" t="str">
        <x:v>9:05 AM</x:v>
      </x:c>
      <x:c r="C39" s="2" t="str">
        <x:v>FAKE-03-001</x:v>
      </x:c>
      <x:c r="D39" s="2" t="str">
        <x:f>Settings!$A$17</x:f>
        <x:v>Optional Add-on</x:v>
      </x:c>
      <x:c r="E39" s="2" t="str">
        <x:v>No sale</x:v>
      </x:c>
      <x:c r="F39" s="11" t="n">
        <x:v>0</x:v>
      </x:c>
      <x:c r="G39" s="12" t="n">
        <x:f>F39*SUMIFS(Settings!$C$14:$C$17,Settings!$A$14:$A$17,D39)</x:f>
        <x:v>0</x:v>
      </x:c>
      <x:c r="H39" s="2" t="str">
        <x:v>No</x:v>
      </x:c>
      <x:c r="I39" s="2" t="str">
        <x:v>No selection made; no follow-up needed.</x:v>
      </x:c>
      <x:c r="J39" s="2" t="str">
        <x:v>Day 03!A10:H10</x:v>
      </x:c>
    </x:row>
    <x:row r="40" ht="23" customHeight="1">
      <x:c r="A40" s="7" t="n">
        <x:v>46206.5</x:v>
      </x:c>
      <x:c r="B40" s="2" t="str">
        <x:v>9:35 AM</x:v>
      </x:c>
      <x:c r="C40" s="2" t="str">
        <x:v>FAKE-03-002</x:v>
      </x:c>
      <x:c r="D40" s="2" t="str">
        <x:f>Settings!$A$16</x:f>
        <x:v>Premium Package</x:v>
      </x:c>
      <x:c r="E40" s="2" t="str">
        <x:v>Completed</x:v>
      </x:c>
      <x:c r="F40" s="11" t="n">
        <x:v>1</x:v>
      </x:c>
      <x:c r="G40" s="12" t="n">
        <x:f>F40*SUMIFS(Settings!$C$14:$C$17,Settings!$A$14:$A$17,D40)</x:f>
        <x:v>2</x:v>
      </x:c>
      <x:c r="H40" s="2" t="str">
        <x:v>No</x:v>
      </x:c>
      <x:c r="I40" s="2" t="str">
        <x:v>Completed the fictional selection.</x:v>
      </x:c>
      <x:c r="J40" s="2" t="str">
        <x:v>Day 03!A11:H11</x:v>
      </x:c>
    </x:row>
    <x:row r="41" ht="23" customHeight="1">
      <x:c r="A41" s="7" t="n">
        <x:v>46206.5</x:v>
      </x:c>
      <x:c r="B41" s="2" t="str">
        <x:v>10:05 AM</x:v>
      </x:c>
      <x:c r="C41" s="2" t="str">
        <x:v>FAKE-03-003</x:v>
      </x:c>
      <x:c r="D41" s="2" t="str">
        <x:f>Settings!$A$15</x:f>
        <x:v>Plus Package</x:v>
      </x:c>
      <x:c r="E41" s="2" t="str">
        <x:v>Completed</x:v>
      </x:c>
      <x:c r="F41" s="11" t="n">
        <x:v>1</x:v>
      </x:c>
      <x:c r="G41" s="12" t="n">
        <x:f>F41*SUMIFS(Settings!$C$14:$C$17,Settings!$A$14:$A$17,D41)</x:f>
        <x:v>1.5</x:v>
      </x:c>
      <x:c r="H41" s="2" t="str">
        <x:v>No</x:v>
      </x:c>
      <x:c r="I41" s="2" t="str">
        <x:v>Completed the fictional selection.</x:v>
      </x:c>
      <x:c r="J41" s="2" t="str">
        <x:v>Day 03!A12:H12</x:v>
      </x:c>
    </x:row>
    <x:row r="42" ht="23" customHeight="1">
      <x:c r="A42" s="7" t="n">
        <x:v>46206.5</x:v>
      </x:c>
      <x:c r="B42" s="2" t="str">
        <x:v>10:35 AM</x:v>
      </x:c>
      <x:c r="C42" s="2" t="str">
        <x:v>FAKE-03-004</x:v>
      </x:c>
      <x:c r="D42" s="2" t="str">
        <x:f>Settings!$A$14</x:f>
        <x:v>Core Package</x:v>
      </x:c>
      <x:c r="E42" s="2" t="str">
        <x:v>Completed</x:v>
      </x:c>
      <x:c r="F42" s="11" t="n">
        <x:v>1</x:v>
      </x:c>
      <x:c r="G42" s="12" t="n">
        <x:f>F42*SUMIFS(Settings!$C$14:$C$17,Settings!$A$14:$A$17,D42)</x:f>
        <x:v>1</x:v>
      </x:c>
      <x:c r="H42" s="2" t="str">
        <x:v>No</x:v>
      </x:c>
      <x:c r="I42" s="2" t="str">
        <x:v>Completed the fictional selection.</x:v>
      </x:c>
      <x:c r="J42" s="2" t="str">
        <x:v>Day 03!A13:H13</x:v>
      </x:c>
    </x:row>
    <x:row r="43" ht="23" customHeight="1">
      <x:c r="A43" s="7" t="n">
        <x:v>46206.5</x:v>
      </x:c>
      <x:c r="B43" s="2" t="str">
        <x:v>11:05 AM</x:v>
      </x:c>
      <x:c r="C43" s="2" t="str">
        <x:v>FAKE-03-005</x:v>
      </x:c>
      <x:c r="D43" s="2" t="str">
        <x:f>Settings!$A$17</x:f>
        <x:v>Optional Add-on</x:v>
      </x:c>
      <x:c r="E43" s="2" t="str">
        <x:v>Follow-up</x:v>
      </x:c>
      <x:c r="F43" s="11" t="n">
        <x:v>0</x:v>
      </x:c>
      <x:c r="G43" s="12" t="n">
        <x:f>F43*SUMIFS(Settings!$C$14:$C$17,Settings!$A$14:$A$17,D43)</x:f>
        <x:v>0</x:v>
      </x:c>
      <x:c r="H43" s="2" t="str">
        <x:v>Yes</x:v>
      </x:c>
      <x:c r="I43" s="2" t="str">
        <x:v>Follow-up requested for a later date.</x:v>
      </x:c>
      <x:c r="J43" s="2" t="str">
        <x:v>Day 03!A14:H14</x:v>
      </x:c>
    </x:row>
    <x:row r="44" ht="23" customHeight="1">
      <x:c r="A44" s="7" t="n">
        <x:v>46206.5</x:v>
      </x:c>
      <x:c r="B44" s="2" t="str">
        <x:v>11:35 AM</x:v>
      </x:c>
      <x:c r="C44" s="2" t="str">
        <x:v>FAKE-03-006</x:v>
      </x:c>
      <x:c r="D44" s="2" t="str">
        <x:f>Settings!$A$16</x:f>
        <x:v>Premium Package</x:v>
      </x:c>
      <x:c r="E44" s="2" t="str">
        <x:v>No sale</x:v>
      </x:c>
      <x:c r="F44" s="11" t="n">
        <x:v>0</x:v>
      </x:c>
      <x:c r="G44" s="12" t="n">
        <x:f>F44*SUMIFS(Settings!$C$14:$C$17,Settings!$A$14:$A$17,D44)</x:f>
        <x:v>0</x:v>
      </x:c>
      <x:c r="H44" s="2" t="str">
        <x:v>No</x:v>
      </x:c>
      <x:c r="I44" s="2" t="str">
        <x:v>No selection made; no follow-up needed.</x:v>
      </x:c>
      <x:c r="J44" s="2" t="str">
        <x:v>Day 03!A15:H15</x:v>
      </x:c>
    </x:row>
    <x:row r="45" ht="23" customHeight="1">
      <x:c r="A45" s="7" t="n">
        <x:v>46206.5</x:v>
      </x:c>
      <x:c r="B45" s="2" t="str">
        <x:v>12:05 PM</x:v>
      </x:c>
      <x:c r="C45" s="2" t="str">
        <x:v>FAKE-03-007</x:v>
      </x:c>
      <x:c r="D45" s="2" t="str">
        <x:f>Settings!$A$15</x:f>
        <x:v>Plus Package</x:v>
      </x:c>
      <x:c r="E45" s="2" t="str">
        <x:v>Completed</x:v>
      </x:c>
      <x:c r="F45" s="11" t="n">
        <x:v>1</x:v>
      </x:c>
      <x:c r="G45" s="12" t="n">
        <x:f>F45*SUMIFS(Settings!$C$14:$C$17,Settings!$A$14:$A$17,D45)</x:f>
        <x:v>1.5</x:v>
      </x:c>
      <x:c r="H45" s="2" t="str">
        <x:v>No</x:v>
      </x:c>
      <x:c r="I45" s="2" t="str">
        <x:v>Completed the fictional selection.</x:v>
      </x:c>
      <x:c r="J45" s="2" t="str">
        <x:v>Day 03!A16:H16</x:v>
      </x:c>
    </x:row>
    <x:row r="46" ht="23" customHeight="1">
      <x:c r="A46" s="7" t="n">
        <x:v>46206.5</x:v>
      </x:c>
      <x:c r="B46" s="2" t="str">
        <x:v>12:35 PM</x:v>
      </x:c>
      <x:c r="C46" s="2" t="str">
        <x:v>FAKE-03-008</x:v>
      </x:c>
      <x:c r="D46" s="2" t="str">
        <x:f>Settings!$A$14</x:f>
        <x:v>Core Package</x:v>
      </x:c>
      <x:c r="E46" s="2" t="str">
        <x:v>Completed</x:v>
      </x:c>
      <x:c r="F46" s="11" t="n">
        <x:v>1</x:v>
      </x:c>
      <x:c r="G46" s="12" t="n">
        <x:f>F46*SUMIFS(Settings!$C$14:$C$17,Settings!$A$14:$A$17,D46)</x:f>
        <x:v>1</x:v>
      </x:c>
      <x:c r="H46" s="2" t="str">
        <x:v>No</x:v>
      </x:c>
      <x:c r="I46" s="2" t="str">
        <x:v>Completed the fictional selection.</x:v>
      </x:c>
      <x:c r="J46" s="2" t="str">
        <x:v>Day 03!A17:H17</x:v>
      </x:c>
    </x:row>
    <x:row r="47" ht="23" customHeight="1">
      <x:c r="A47" s="7" t="n">
        <x:v>46206.5</x:v>
      </x:c>
      <x:c r="B47" s="2" t="str">
        <x:v>1:05 PM</x:v>
      </x:c>
      <x:c r="C47" s="2" t="str">
        <x:v>FAKE-03-009</x:v>
      </x:c>
      <x:c r="D47" s="2" t="str">
        <x:f>Settings!$A$17</x:f>
        <x:v>Optional Add-on</x:v>
      </x:c>
      <x:c r="E47" s="2" t="str">
        <x:v>Completed</x:v>
      </x:c>
      <x:c r="F47" s="11" t="n">
        <x:v>1</x:v>
      </x:c>
      <x:c r="G47" s="12" t="n">
        <x:f>F47*SUMIFS(Settings!$C$14:$C$17,Settings!$A$14:$A$17,D47)</x:f>
        <x:v>0.5</x:v>
      </x:c>
      <x:c r="H47" s="2" t="str">
        <x:v>No</x:v>
      </x:c>
      <x:c r="I47" s="2" t="str">
        <x:v>Completed the fictional selection.</x:v>
      </x:c>
      <x:c r="J47" s="2" t="str">
        <x:v>Day 03!A18:H18</x:v>
      </x:c>
    </x:row>
    <x:row r="48" ht="23" customHeight="1">
      <x:c r="A48" s="7" t="n">
        <x:v>46206.5</x:v>
      </x:c>
      <x:c r="B48" s="2" t="str">
        <x:v>1:35 PM</x:v>
      </x:c>
      <x:c r="C48" s="2" t="str">
        <x:v>FAKE-03-010</x:v>
      </x:c>
      <x:c r="D48" s="2" t="str">
        <x:f>Settings!$A$16</x:f>
        <x:v>Premium Package</x:v>
      </x:c>
      <x:c r="E48" s="2" t="str">
        <x:v>Follow-up</x:v>
      </x:c>
      <x:c r="F48" s="11" t="n">
        <x:v>0</x:v>
      </x:c>
      <x:c r="G48" s="12" t="n">
        <x:f>F48*SUMIFS(Settings!$C$14:$C$17,Settings!$A$14:$A$17,D48)</x:f>
        <x:v>0</x:v>
      </x:c>
      <x:c r="H48" s="2" t="str">
        <x:v>Yes</x:v>
      </x:c>
      <x:c r="I48" s="2" t="str">
        <x:v>Follow-up requested for a later date.</x:v>
      </x:c>
      <x:c r="J48" s="2" t="str">
        <x:v>Day 03!A19:H19</x:v>
      </x:c>
    </x:row>
    <x:row r="49" ht="23" customHeight="1">
      <x:c r="A49" s="7" t="n">
        <x:v>46206.5</x:v>
      </x:c>
      <x:c r="B49" s="2" t="str">
        <x:v>2:05 PM</x:v>
      </x:c>
      <x:c r="C49" s="2" t="str">
        <x:v>FAKE-03-011</x:v>
      </x:c>
      <x:c r="D49" s="2" t="str">
        <x:f>Settings!$A$15</x:f>
        <x:v>Plus Package</x:v>
      </x:c>
      <x:c r="E49" s="2" t="str">
        <x:v>No sale</x:v>
      </x:c>
      <x:c r="F49" s="11" t="n">
        <x:v>0</x:v>
      </x:c>
      <x:c r="G49" s="12" t="n">
        <x:f>F49*SUMIFS(Settings!$C$14:$C$17,Settings!$A$14:$A$17,D49)</x:f>
        <x:v>0</x:v>
      </x:c>
      <x:c r="H49" s="2" t="str">
        <x:v>No</x:v>
      </x:c>
      <x:c r="I49" s="2" t="str">
        <x:v>No selection made; no follow-up needed.</x:v>
      </x:c>
      <x:c r="J49" s="2" t="str">
        <x:v>Day 03!A20:H20</x:v>
      </x:c>
    </x:row>
    <x:row r="50" ht="23" customHeight="1">
      <x:c r="A50" s="7" t="n">
        <x:v>46206.5</x:v>
      </x:c>
      <x:c r="B50" s="2" t="str">
        <x:v>2:35 PM</x:v>
      </x:c>
      <x:c r="C50" s="2" t="str">
        <x:v>FAKE-03-012</x:v>
      </x:c>
      <x:c r="D50" s="2" t="str">
        <x:f>Settings!$A$14</x:f>
        <x:v>Core Package</x:v>
      </x:c>
      <x:c r="E50" s="2" t="str">
        <x:v>Completed</x:v>
      </x:c>
      <x:c r="F50" s="11" t="n">
        <x:v>1</x:v>
      </x:c>
      <x:c r="G50" s="12" t="n">
        <x:f>F50*SUMIFS(Settings!$C$14:$C$17,Settings!$A$14:$A$17,D50)</x:f>
        <x:v>1</x:v>
      </x:c>
      <x:c r="H50" s="2" t="str">
        <x:v>No</x:v>
      </x:c>
      <x:c r="I50" s="2" t="str">
        <x:v>Completed the fictional selection.</x:v>
      </x:c>
      <x:c r="J50" s="2" t="str">
        <x:v>Day 03!A21:H21</x:v>
      </x:c>
    </x:row>
    <x:row r="51" ht="23" customHeight="1">
      <x:c r="A51" s="7" t="n">
        <x:v>46206.5</x:v>
      </x:c>
      <x:c r="B51" s="2" t="str">
        <x:v>3:05 PM</x:v>
      </x:c>
      <x:c r="C51" s="2" t="str">
        <x:v>FAKE-03-013</x:v>
      </x:c>
      <x:c r="D51" s="2" t="str">
        <x:f>Settings!$A$17</x:f>
        <x:v>Optional Add-on</x:v>
      </x:c>
      <x:c r="E51" s="2" t="str">
        <x:v>Completed</x:v>
      </x:c>
      <x:c r="F51" s="11" t="n">
        <x:v>1</x:v>
      </x:c>
      <x:c r="G51" s="12" t="n">
        <x:f>F51*SUMIFS(Settings!$C$14:$C$17,Settings!$A$14:$A$17,D51)</x:f>
        <x:v>0.5</x:v>
      </x:c>
      <x:c r="H51" s="2" t="str">
        <x:v>No</x:v>
      </x:c>
      <x:c r="I51" s="2" t="str">
        <x:v>Completed the fictional selection.</x:v>
      </x:c>
      <x:c r="J51" s="2" t="str">
        <x:v>Day 03!A22:H22</x:v>
      </x:c>
    </x:row>
    <x:row r="52" ht="23" customHeight="1">
      <x:c r="A52" s="7" t="n">
        <x:v>46207.5</x:v>
      </x:c>
      <x:c r="B52" s="2" t="str">
        <x:v>9:05 AM</x:v>
      </x:c>
      <x:c r="C52" s="2" t="str">
        <x:v>FAKE-04-001</x:v>
      </x:c>
      <x:c r="D52" s="2" t="str">
        <x:f>Settings!$A$14</x:f>
        <x:v>Core Package</x:v>
      </x:c>
      <x:c r="E52" s="2" t="str">
        <x:v>Completed</x:v>
      </x:c>
      <x:c r="F52" s="11" t="n">
        <x:v>1</x:v>
      </x:c>
      <x:c r="G52" s="12" t="n">
        <x:f>F52*SUMIFS(Settings!$C$14:$C$17,Settings!$A$14:$A$17,D52)</x:f>
        <x:v>1</x:v>
      </x:c>
      <x:c r="H52" s="2" t="str">
        <x:v>No</x:v>
      </x:c>
      <x:c r="I52" s="2" t="str">
        <x:v>Completed the fictional selection.</x:v>
      </x:c>
      <x:c r="J52" s="2" t="str">
        <x:v>Day 04!A10:H10</x:v>
      </x:c>
    </x:row>
    <x:row r="53" ht="23" customHeight="1">
      <x:c r="A53" s="7" t="n">
        <x:v>46207.5</x:v>
      </x:c>
      <x:c r="B53" s="2" t="str">
        <x:v>9:35 AM</x:v>
      </x:c>
      <x:c r="C53" s="2" t="str">
        <x:v>FAKE-04-002</x:v>
      </x:c>
      <x:c r="D53" s="2" t="str">
        <x:f>Settings!$A$17</x:f>
        <x:v>Optional Add-on</x:v>
      </x:c>
      <x:c r="E53" s="2" t="str">
        <x:v>Completed</x:v>
      </x:c>
      <x:c r="F53" s="11" t="n">
        <x:v>1</x:v>
      </x:c>
      <x:c r="G53" s="12" t="n">
        <x:f>F53*SUMIFS(Settings!$C$14:$C$17,Settings!$A$14:$A$17,D53)</x:f>
        <x:v>0.5</x:v>
      </x:c>
      <x:c r="H53" s="2" t="str">
        <x:v>No</x:v>
      </x:c>
      <x:c r="I53" s="2" t="str">
        <x:v>Completed the fictional selection.</x:v>
      </x:c>
      <x:c r="J53" s="2" t="str">
        <x:v>Day 04!A11:H11</x:v>
      </x:c>
    </x:row>
    <x:row r="54" ht="23" customHeight="1">
      <x:c r="A54" s="7" t="n">
        <x:v>46207.5</x:v>
      </x:c>
      <x:c r="B54" s="2" t="str">
        <x:v>10:05 AM</x:v>
      </x:c>
      <x:c r="C54" s="2" t="str">
        <x:v>FAKE-04-003</x:v>
      </x:c>
      <x:c r="D54" s="2" t="str">
        <x:f>Settings!$A$16</x:f>
        <x:v>Premium Package</x:v>
      </x:c>
      <x:c r="E54" s="2" t="str">
        <x:v>Follow-up</x:v>
      </x:c>
      <x:c r="F54" s="11" t="n">
        <x:v>0</x:v>
      </x:c>
      <x:c r="G54" s="12" t="n">
        <x:f>F54*SUMIFS(Settings!$C$14:$C$17,Settings!$A$14:$A$17,D54)</x:f>
        <x:v>0</x:v>
      </x:c>
      <x:c r="H54" s="2" t="str">
        <x:v>Yes</x:v>
      </x:c>
      <x:c r="I54" s="2" t="str">
        <x:v>Follow-up requested for a later date.</x:v>
      </x:c>
      <x:c r="J54" s="2" t="str">
        <x:v>Day 04!A12:H12</x:v>
      </x:c>
    </x:row>
    <x:row r="55" ht="23" customHeight="1">
      <x:c r="A55" s="7" t="n">
        <x:v>46207.5</x:v>
      </x:c>
      <x:c r="B55" s="2" t="str">
        <x:v>10:35 AM</x:v>
      </x:c>
      <x:c r="C55" s="2" t="str">
        <x:v>FAKE-04-004</x:v>
      </x:c>
      <x:c r="D55" s="2" t="str">
        <x:f>Settings!$A$15</x:f>
        <x:v>Plus Package</x:v>
      </x:c>
      <x:c r="E55" s="2" t="str">
        <x:v>No sale</x:v>
      </x:c>
      <x:c r="F55" s="11" t="n">
        <x:v>0</x:v>
      </x:c>
      <x:c r="G55" s="12" t="n">
        <x:f>F55*SUMIFS(Settings!$C$14:$C$17,Settings!$A$14:$A$17,D55)</x:f>
        <x:v>0</x:v>
      </x:c>
      <x:c r="H55" s="2" t="str">
        <x:v>No</x:v>
      </x:c>
      <x:c r="I55" s="2" t="str">
        <x:v>No selection made; no follow-up needed.</x:v>
      </x:c>
      <x:c r="J55" s="2" t="str">
        <x:v>Day 04!A13:H13</x:v>
      </x:c>
    </x:row>
    <x:row r="56" ht="23" customHeight="1">
      <x:c r="A56" s="7" t="n">
        <x:v>46207.5</x:v>
      </x:c>
      <x:c r="B56" s="2" t="str">
        <x:v>11:05 AM</x:v>
      </x:c>
      <x:c r="C56" s="2" t="str">
        <x:v>FAKE-04-005</x:v>
      </x:c>
      <x:c r="D56" s="2" t="str">
        <x:f>Settings!$A$14</x:f>
        <x:v>Core Package</x:v>
      </x:c>
      <x:c r="E56" s="2" t="str">
        <x:v>Completed</x:v>
      </x:c>
      <x:c r="F56" s="11" t="n">
        <x:v>2</x:v>
      </x:c>
      <x:c r="G56" s="12" t="n">
        <x:f>F56*SUMIFS(Settings!$C$14:$C$17,Settings!$A$14:$A$17,D56)</x:f>
        <x:v>2</x:v>
      </x:c>
      <x:c r="H56" s="2" t="str">
        <x:v>No</x:v>
      </x:c>
      <x:c r="I56" s="2" t="str">
        <x:v>Completed the fictional selection.</x:v>
      </x:c>
      <x:c r="J56" s="2" t="str">
        <x:v>Day 04!A14:H14</x:v>
      </x:c>
    </x:row>
    <x:row r="57" ht="23" customHeight="1">
      <x:c r="A57" s="7" t="n">
        <x:v>46207.5</x:v>
      </x:c>
      <x:c r="B57" s="2" t="str">
        <x:v>11:35 AM</x:v>
      </x:c>
      <x:c r="C57" s="2" t="str">
        <x:v>FAKE-04-006</x:v>
      </x:c>
      <x:c r="D57" s="2" t="str">
        <x:f>Settings!$A$17</x:f>
        <x:v>Optional Add-on</x:v>
      </x:c>
      <x:c r="E57" s="2" t="str">
        <x:v>Completed</x:v>
      </x:c>
      <x:c r="F57" s="11" t="n">
        <x:v>1</x:v>
      </x:c>
      <x:c r="G57" s="12" t="n">
        <x:f>F57*SUMIFS(Settings!$C$14:$C$17,Settings!$A$14:$A$17,D57)</x:f>
        <x:v>0.5</x:v>
      </x:c>
      <x:c r="H57" s="2" t="str">
        <x:v>No</x:v>
      </x:c>
      <x:c r="I57" s="2" t="str">
        <x:v>Completed the fictional selection.</x:v>
      </x:c>
      <x:c r="J57" s="2" t="str">
        <x:v>Day 04!A15:H15</x:v>
      </x:c>
    </x:row>
    <x:row r="58" ht="23" customHeight="1">
      <x:c r="A58" s="7" t="n">
        <x:v>46207.5</x:v>
      </x:c>
      <x:c r="B58" s="2" t="str">
        <x:v>12:05 PM</x:v>
      </x:c>
      <x:c r="C58" s="2" t="str">
        <x:v>FAKE-04-007</x:v>
      </x:c>
      <x:c r="D58" s="2" t="str">
        <x:f>Settings!$A$16</x:f>
        <x:v>Premium Package</x:v>
      </x:c>
      <x:c r="E58" s="2" t="str">
        <x:v>Completed</x:v>
      </x:c>
      <x:c r="F58" s="11" t="n">
        <x:v>1</x:v>
      </x:c>
      <x:c r="G58" s="12" t="n">
        <x:f>F58*SUMIFS(Settings!$C$14:$C$17,Settings!$A$14:$A$17,D58)</x:f>
        <x:v>2</x:v>
      </x:c>
      <x:c r="H58" s="2" t="str">
        <x:v>No</x:v>
      </x:c>
      <x:c r="I58" s="2" t="str">
        <x:v>Completed the fictional selection.</x:v>
      </x:c>
      <x:c r="J58" s="2" t="str">
        <x:v>Day 04!A16:H16</x:v>
      </x:c>
    </x:row>
    <x:row r="59" ht="23" customHeight="1">
      <x:c r="A59" s="7" t="n">
        <x:v>46207.5</x:v>
      </x:c>
      <x:c r="B59" s="2" t="str">
        <x:v>12:35 PM</x:v>
      </x:c>
      <x:c r="C59" s="2" t="str">
        <x:v>FAKE-04-008</x:v>
      </x:c>
      <x:c r="D59" s="2" t="str">
        <x:f>Settings!$A$15</x:f>
        <x:v>Plus Package</x:v>
      </x:c>
      <x:c r="E59" s="2" t="str">
        <x:v>Follow-up</x:v>
      </x:c>
      <x:c r="F59" s="11" t="n">
        <x:v>0</x:v>
      </x:c>
      <x:c r="G59" s="12" t="n">
        <x:f>F59*SUMIFS(Settings!$C$14:$C$17,Settings!$A$14:$A$17,D59)</x:f>
        <x:v>0</x:v>
      </x:c>
      <x:c r="H59" s="2" t="str">
        <x:v>Yes</x:v>
      </x:c>
      <x:c r="I59" s="2" t="str">
        <x:v>Follow-up requested for a later date.</x:v>
      </x:c>
      <x:c r="J59" s="2" t="str">
        <x:v>Day 04!A17:H17</x:v>
      </x:c>
    </x:row>
    <x:row r="60" ht="23" customHeight="1">
      <x:c r="A60" s="7" t="n">
        <x:v>46207.5</x:v>
      </x:c>
      <x:c r="B60" s="2" t="str">
        <x:v>1:05 PM</x:v>
      </x:c>
      <x:c r="C60" s="2" t="str">
        <x:v>FAKE-04-009</x:v>
      </x:c>
      <x:c r="D60" s="2" t="str">
        <x:f>Settings!$A$14</x:f>
        <x:v>Core Package</x:v>
      </x:c>
      <x:c r="E60" s="2" t="str">
        <x:v>No sale</x:v>
      </x:c>
      <x:c r="F60" s="11" t="n">
        <x:v>0</x:v>
      </x:c>
      <x:c r="G60" s="12" t="n">
        <x:f>F60*SUMIFS(Settings!$C$14:$C$17,Settings!$A$14:$A$17,D60)</x:f>
        <x:v>0</x:v>
      </x:c>
      <x:c r="H60" s="2" t="str">
        <x:v>No</x:v>
      </x:c>
      <x:c r="I60" s="2" t="str">
        <x:v>No selection made; no follow-up needed.</x:v>
      </x:c>
      <x:c r="J60" s="2" t="str">
        <x:v>Day 04!A18:H18</x:v>
      </x:c>
    </x:row>
    <x:row r="61" ht="23" customHeight="1">
      <x:c r="A61" s="7" t="n">
        <x:v>46207.5</x:v>
      </x:c>
      <x:c r="B61" s="2" t="str">
        <x:v>1:35 PM</x:v>
      </x:c>
      <x:c r="C61" s="2" t="str">
        <x:v>FAKE-04-010</x:v>
      </x:c>
      <x:c r="D61" s="2" t="str">
        <x:f>Settings!$A$17</x:f>
        <x:v>Optional Add-on</x:v>
      </x:c>
      <x:c r="E61" s="2" t="str">
        <x:v>Completed</x:v>
      </x:c>
      <x:c r="F61" s="11" t="n">
        <x:v>2</x:v>
      </x:c>
      <x:c r="G61" s="12" t="n">
        <x:f>F61*SUMIFS(Settings!$C$14:$C$17,Settings!$A$14:$A$17,D61)</x:f>
        <x:v>1</x:v>
      </x:c>
      <x:c r="H61" s="2" t="str">
        <x:v>No</x:v>
      </x:c>
      <x:c r="I61" s="2" t="str">
        <x:v>Completed the fictional selection.</x:v>
      </x:c>
      <x:c r="J61" s="2" t="str">
        <x:v>Day 04!A19:H19</x:v>
      </x:c>
    </x:row>
    <x:row r="62" ht="23" customHeight="1">
      <x:c r="A62" s="7" t="n">
        <x:v>46207.5</x:v>
      </x:c>
      <x:c r="B62" s="2" t="str">
        <x:v>2:05 PM</x:v>
      </x:c>
      <x:c r="C62" s="2" t="str">
        <x:v>FAKE-04-011</x:v>
      </x:c>
      <x:c r="D62" s="2" t="str">
        <x:f>Settings!$A$16</x:f>
        <x:v>Premium Package</x:v>
      </x:c>
      <x:c r="E62" s="2" t="str">
        <x:v>Completed</x:v>
      </x:c>
      <x:c r="F62" s="11" t="n">
        <x:v>1</x:v>
      </x:c>
      <x:c r="G62" s="12" t="n">
        <x:f>F62*SUMIFS(Settings!$C$14:$C$17,Settings!$A$14:$A$17,D62)</x:f>
        <x:v>2</x:v>
      </x:c>
      <x:c r="H62" s="2" t="str">
        <x:v>No</x:v>
      </x:c>
      <x:c r="I62" s="2" t="str">
        <x:v>Completed the fictional selection.</x:v>
      </x:c>
      <x:c r="J62" s="2" t="str">
        <x:v>Day 04!A20:H20</x:v>
      </x:c>
    </x:row>
    <x:row r="63" ht="23" customHeight="1">
      <x:c r="A63" s="7" t="n">
        <x:v>46207.5</x:v>
      </x:c>
      <x:c r="B63" s="2" t="str">
        <x:v>2:35 PM</x:v>
      </x:c>
      <x:c r="C63" s="2" t="str">
        <x:v>FAKE-04-012</x:v>
      </x:c>
      <x:c r="D63" s="2" t="str">
        <x:f>Settings!$A$15</x:f>
        <x:v>Plus Package</x:v>
      </x:c>
      <x:c r="E63" s="2" t="str">
        <x:v>Completed</x:v>
      </x:c>
      <x:c r="F63" s="11" t="n">
        <x:v>1</x:v>
      </x:c>
      <x:c r="G63" s="12" t="n">
        <x:f>F63*SUMIFS(Settings!$C$14:$C$17,Settings!$A$14:$A$17,D63)</x:f>
        <x:v>1.5</x:v>
      </x:c>
      <x:c r="H63" s="2" t="str">
        <x:v>No</x:v>
      </x:c>
      <x:c r="I63" s="2" t="str">
        <x:v>Completed the fictional selection.</x:v>
      </x:c>
      <x:c r="J63" s="2" t="str">
        <x:v>Day 04!A21:H21</x:v>
      </x:c>
    </x:row>
    <x:row r="64" ht="23" customHeight="1">
      <x:c r="A64" s="7" t="n">
        <x:v>46207.5</x:v>
      </x:c>
      <x:c r="B64" s="2" t="str">
        <x:v>3:05 PM</x:v>
      </x:c>
      <x:c r="C64" s="2" t="str">
        <x:v>FAKE-04-013</x:v>
      </x:c>
      <x:c r="D64" s="2" t="str">
        <x:f>Settings!$A$14</x:f>
        <x:v>Core Package</x:v>
      </x:c>
      <x:c r="E64" s="2" t="str">
        <x:v>Follow-up</x:v>
      </x:c>
      <x:c r="F64" s="11" t="n">
        <x:v>0</x:v>
      </x:c>
      <x:c r="G64" s="12" t="n">
        <x:f>F64*SUMIFS(Settings!$C$14:$C$17,Settings!$A$14:$A$17,D64)</x:f>
        <x:v>0</x:v>
      </x:c>
      <x:c r="H64" s="2" t="str">
        <x:v>Yes</x:v>
      </x:c>
      <x:c r="I64" s="2" t="str">
        <x:v>Follow-up requested for a later date.</x:v>
      </x:c>
      <x:c r="J64" s="2" t="str">
        <x:v>Day 04!A22:H22</x:v>
      </x:c>
    </x:row>
    <x:row r="65" ht="23" customHeight="1">
      <x:c r="A65" s="7" t="n">
        <x:v>46207.5</x:v>
      </x:c>
      <x:c r="B65" s="2" t="str">
        <x:v>3:35 PM</x:v>
      </x:c>
      <x:c r="C65" s="2" t="str">
        <x:v>FAKE-04-014</x:v>
      </x:c>
      <x:c r="D65" s="2" t="str">
        <x:f>Settings!$A$17</x:f>
        <x:v>Optional Add-on</x:v>
      </x:c>
      <x:c r="E65" s="2" t="str">
        <x:v>No sale</x:v>
      </x:c>
      <x:c r="F65" s="11" t="n">
        <x:v>0</x:v>
      </x:c>
      <x:c r="G65" s="12" t="n">
        <x:f>F65*SUMIFS(Settings!$C$14:$C$17,Settings!$A$14:$A$17,D65)</x:f>
        <x:v>0</x:v>
      </x:c>
      <x:c r="H65" s="2" t="str">
        <x:v>No</x:v>
      </x:c>
      <x:c r="I65" s="2" t="str">
        <x:v>No selection made; no follow-up needed.</x:v>
      </x:c>
      <x:c r="J65" s="2" t="str">
        <x:v>Day 04!A23:H23</x:v>
      </x:c>
    </x:row>
    <x:row r="66" ht="23" customHeight="1">
      <x:c r="A66" s="7" t="n">
        <x:v>46207.5</x:v>
      </x:c>
      <x:c r="B66" s="2" t="str">
        <x:v>4:05 PM</x:v>
      </x:c>
      <x:c r="C66" s="2" t="str">
        <x:v>FAKE-04-015</x:v>
      </x:c>
      <x:c r="D66" s="2" t="str">
        <x:f>Settings!$A$16</x:f>
        <x:v>Premium Package</x:v>
      </x:c>
      <x:c r="E66" s="2" t="str">
        <x:v>Completed</x:v>
      </x:c>
      <x:c r="F66" s="11" t="n">
        <x:v>2</x:v>
      </x:c>
      <x:c r="G66" s="12" t="n">
        <x:f>F66*SUMIFS(Settings!$C$14:$C$17,Settings!$A$14:$A$17,D66)</x:f>
        <x:v>4</x:v>
      </x:c>
      <x:c r="H66" s="2" t="str">
        <x:v>No</x:v>
      </x:c>
      <x:c r="I66" s="2" t="str">
        <x:v>Completed the fictional selection.</x:v>
      </x:c>
      <x:c r="J66" s="2" t="str">
        <x:v>Day 04!A24:H24</x:v>
      </x:c>
    </x:row>
    <x:row r="67" ht="23" customHeight="1">
      <x:c r="A67" s="7" t="n">
        <x:v>46207.5</x:v>
      </x:c>
      <x:c r="B67" s="2" t="str">
        <x:v>4:35 PM</x:v>
      </x:c>
      <x:c r="C67" s="2" t="str">
        <x:v>FAKE-04-016</x:v>
      </x:c>
      <x:c r="D67" s="2" t="str">
        <x:f>Settings!$A$15</x:f>
        <x:v>Plus Package</x:v>
      </x:c>
      <x:c r="E67" s="2" t="str">
        <x:v>Completed</x:v>
      </x:c>
      <x:c r="F67" s="11" t="n">
        <x:v>1</x:v>
      </x:c>
      <x:c r="G67" s="12" t="n">
        <x:f>F67*SUMIFS(Settings!$C$14:$C$17,Settings!$A$14:$A$17,D67)</x:f>
        <x:v>1.5</x:v>
      </x:c>
      <x:c r="H67" s="2" t="str">
        <x:v>No</x:v>
      </x:c>
      <x:c r="I67" s="2" t="str">
        <x:v>Completed the fictional selection.</x:v>
      </x:c>
      <x:c r="J67" s="2" t="str">
        <x:v>Day 04!A25:H25</x:v>
      </x:c>
    </x:row>
    <x:row r="68" ht="23" customHeight="1">
      <x:c r="A68" s="7" t="n">
        <x:v>46207.5</x:v>
      </x:c>
      <x:c r="B68" s="2" t="str">
        <x:v>5:05 PM</x:v>
      </x:c>
      <x:c r="C68" s="2" t="str">
        <x:v>FAKE-04-017</x:v>
      </x:c>
      <x:c r="D68" s="2" t="str">
        <x:f>Settings!$A$14</x:f>
        <x:v>Core Package</x:v>
      </x:c>
      <x:c r="E68" s="2" t="str">
        <x:v>Completed</x:v>
      </x:c>
      <x:c r="F68" s="11" t="n">
        <x:v>1</x:v>
      </x:c>
      <x:c r="G68" s="12" t="n">
        <x:f>F68*SUMIFS(Settings!$C$14:$C$17,Settings!$A$14:$A$17,D68)</x:f>
        <x:v>1</x:v>
      </x:c>
      <x:c r="H68" s="2" t="str">
        <x:v>No</x:v>
      </x:c>
      <x:c r="I68" s="2" t="str">
        <x:v>Completed the fictional selection.</x:v>
      </x:c>
      <x:c r="J68" s="2" t="str">
        <x:v>Day 04!A26:H26</x:v>
      </x:c>
    </x:row>
    <x:row r="69" ht="23" customHeight="1">
      <x:c r="A69" s="7" t="n">
        <x:v>46207.5</x:v>
      </x:c>
      <x:c r="B69" s="2" t="str">
        <x:v>5:35 PM</x:v>
      </x:c>
      <x:c r="C69" s="2" t="str">
        <x:v>FAKE-04-018</x:v>
      </x:c>
      <x:c r="D69" s="2" t="str">
        <x:f>Settings!$A$17</x:f>
        <x:v>Optional Add-on</x:v>
      </x:c>
      <x:c r="E69" s="2" t="str">
        <x:v>Follow-up</x:v>
      </x:c>
      <x:c r="F69" s="11" t="n">
        <x:v>0</x:v>
      </x:c>
      <x:c r="G69" s="12" t="n">
        <x:f>F69*SUMIFS(Settings!$C$14:$C$17,Settings!$A$14:$A$17,D69)</x:f>
        <x:v>0</x:v>
      </x:c>
      <x:c r="H69" s="2" t="str">
        <x:v>Yes</x:v>
      </x:c>
      <x:c r="I69" s="2" t="str">
        <x:v>Follow-up requested for a later date.</x:v>
      </x:c>
      <x:c r="J69" s="2" t="str">
        <x:v>Day 04!A27:H27</x:v>
      </x:c>
    </x:row>
    <x:row r="70" ht="23" customHeight="1">
      <x:c r="A70" s="7" t="n">
        <x:v>46208.5</x:v>
      </x:c>
      <x:c r="B70" s="2" t="str">
        <x:v>9:05 AM</x:v>
      </x:c>
      <x:c r="C70" s="2" t="str">
        <x:v>FAKE-05-001</x:v>
      </x:c>
      <x:c r="D70" s="2" t="str">
        <x:f>Settings!$A$15</x:f>
        <x:v>Plus Package</x:v>
      </x:c>
      <x:c r="E70" s="2" t="str">
        <x:v>Completed</x:v>
      </x:c>
      <x:c r="F70" s="11" t="n">
        <x:v>1</x:v>
      </x:c>
      <x:c r="G70" s="12" t="n">
        <x:f>F70*SUMIFS(Settings!$C$14:$C$17,Settings!$A$14:$A$17,D70)</x:f>
        <x:v>1.5</x:v>
      </x:c>
      <x:c r="H70" s="2" t="str">
        <x:v>No</x:v>
      </x:c>
      <x:c r="I70" s="2" t="str">
        <x:v>Completed the fictional selection.</x:v>
      </x:c>
      <x:c r="J70" s="2" t="str">
        <x:v>Day 05!A10:H10</x:v>
      </x:c>
    </x:row>
    <x:row r="71" ht="23" customHeight="1">
      <x:c r="A71" s="7" t="n">
        <x:v>46208.5</x:v>
      </x:c>
      <x:c r="B71" s="2" t="str">
        <x:v>9:35 AM</x:v>
      </x:c>
      <x:c r="C71" s="2" t="str">
        <x:v>FAKE-05-002</x:v>
      </x:c>
      <x:c r="D71" s="2" t="str">
        <x:f>Settings!$A$14</x:f>
        <x:v>Core Package</x:v>
      </x:c>
      <x:c r="E71" s="2" t="str">
        <x:v>Follow-up</x:v>
      </x:c>
      <x:c r="F71" s="11" t="n">
        <x:v>0</x:v>
      </x:c>
      <x:c r="G71" s="12" t="n">
        <x:f>F71*SUMIFS(Settings!$C$14:$C$17,Settings!$A$14:$A$17,D71)</x:f>
        <x:v>0</x:v>
      </x:c>
      <x:c r="H71" s="2" t="str">
        <x:v>Yes</x:v>
      </x:c>
      <x:c r="I71" s="2" t="str">
        <x:v>Follow-up requested for a later date.</x:v>
      </x:c>
      <x:c r="J71" s="2" t="str">
        <x:v>Day 05!A11:H11</x:v>
      </x:c>
    </x:row>
    <x:row r="72" ht="23" customHeight="1">
      <x:c r="A72" s="7" t="n">
        <x:v>46208.5</x:v>
      </x:c>
      <x:c r="B72" s="2" t="str">
        <x:v>10:05 AM</x:v>
      </x:c>
      <x:c r="C72" s="2" t="str">
        <x:v>FAKE-05-003</x:v>
      </x:c>
      <x:c r="D72" s="2" t="str">
        <x:f>Settings!$A$17</x:f>
        <x:v>Optional Add-on</x:v>
      </x:c>
      <x:c r="E72" s="2" t="str">
        <x:v>No sale</x:v>
      </x:c>
      <x:c r="F72" s="11" t="n">
        <x:v>0</x:v>
      </x:c>
      <x:c r="G72" s="12" t="n">
        <x:f>F72*SUMIFS(Settings!$C$14:$C$17,Settings!$A$14:$A$17,D72)</x:f>
        <x:v>0</x:v>
      </x:c>
      <x:c r="H72" s="2" t="str">
        <x:v>No</x:v>
      </x:c>
      <x:c r="I72" s="2" t="str">
        <x:v>No selection made; no follow-up needed.</x:v>
      </x:c>
      <x:c r="J72" s="2" t="str">
        <x:v>Day 05!A12:H12</x:v>
      </x:c>
    </x:row>
    <x:row r="73" ht="23" customHeight="1">
      <x:c r="A73" s="7" t="n">
        <x:v>46208.5</x:v>
      </x:c>
      <x:c r="B73" s="2" t="str">
        <x:v>10:35 AM</x:v>
      </x:c>
      <x:c r="C73" s="2" t="str">
        <x:v>FAKE-05-004</x:v>
      </x:c>
      <x:c r="D73" s="2" t="str">
        <x:f>Settings!$A$16</x:f>
        <x:v>Premium Package</x:v>
      </x:c>
      <x:c r="E73" s="2" t="str">
        <x:v>Completed</x:v>
      </x:c>
      <x:c r="F73" s="11" t="n">
        <x:v>1</x:v>
      </x:c>
      <x:c r="G73" s="12" t="n">
        <x:f>F73*SUMIFS(Settings!$C$14:$C$17,Settings!$A$14:$A$17,D73)</x:f>
        <x:v>2</x:v>
      </x:c>
      <x:c r="H73" s="2" t="str">
        <x:v>No</x:v>
      </x:c>
      <x:c r="I73" s="2" t="str">
        <x:v>Completed the fictional selection.</x:v>
      </x:c>
      <x:c r="J73" s="2" t="str">
        <x:v>Day 05!A13:H13</x:v>
      </x:c>
    </x:row>
    <x:row r="74" ht="23" customHeight="1">
      <x:c r="A74" s="7" t="n">
        <x:v>46208.5</x:v>
      </x:c>
      <x:c r="B74" s="2" t="str">
        <x:v>11:05 AM</x:v>
      </x:c>
      <x:c r="C74" s="2" t="str">
        <x:v>FAKE-05-005</x:v>
      </x:c>
      <x:c r="D74" s="2" t="str">
        <x:f>Settings!$A$15</x:f>
        <x:v>Plus Package</x:v>
      </x:c>
      <x:c r="E74" s="2" t="str">
        <x:v>Completed</x:v>
      </x:c>
      <x:c r="F74" s="11" t="n">
        <x:v>1</x:v>
      </x:c>
      <x:c r="G74" s="12" t="n">
        <x:f>F74*SUMIFS(Settings!$C$14:$C$17,Settings!$A$14:$A$17,D74)</x:f>
        <x:v>1.5</x:v>
      </x:c>
      <x:c r="H74" s="2" t="str">
        <x:v>No</x:v>
      </x:c>
      <x:c r="I74" s="2" t="str">
        <x:v>Completed the fictional selection.</x:v>
      </x:c>
      <x:c r="J74" s="2" t="str">
        <x:v>Day 05!A14:H14</x:v>
      </x:c>
    </x:row>
    <x:row r="75" ht="23" customHeight="1">
      <x:c r="A75" s="7" t="n">
        <x:v>46208.5</x:v>
      </x:c>
      <x:c r="B75" s="2" t="str">
        <x:v>11:35 AM</x:v>
      </x:c>
      <x:c r="C75" s="2" t="str">
        <x:v>FAKE-05-006</x:v>
      </x:c>
      <x:c r="D75" s="2" t="str">
        <x:f>Settings!$A$14</x:f>
        <x:v>Core Package</x:v>
      </x:c>
      <x:c r="E75" s="2" t="str">
        <x:v>Completed</x:v>
      </x:c>
      <x:c r="F75" s="11" t="n">
        <x:v>1</x:v>
      </x:c>
      <x:c r="G75" s="12" t="n">
        <x:f>F75*SUMIFS(Settings!$C$14:$C$17,Settings!$A$14:$A$17,D75)</x:f>
        <x:v>1</x:v>
      </x:c>
      <x:c r="H75" s="2" t="str">
        <x:v>No</x:v>
      </x:c>
      <x:c r="I75" s="2" t="str">
        <x:v>Completed the fictional selection.</x:v>
      </x:c>
      <x:c r="J75" s="2" t="str">
        <x:v>Day 05!A15:H15</x:v>
      </x:c>
    </x:row>
    <x:row r="76" ht="23" customHeight="1">
      <x:c r="A76" s="7" t="n">
        <x:v>46208.5</x:v>
      </x:c>
      <x:c r="B76" s="2" t="str">
        <x:v>12:05 PM</x:v>
      </x:c>
      <x:c r="C76" s="2" t="str">
        <x:v>FAKE-05-007</x:v>
      </x:c>
      <x:c r="D76" s="2" t="str">
        <x:f>Settings!$A$17</x:f>
        <x:v>Optional Add-on</x:v>
      </x:c>
      <x:c r="E76" s="2" t="str">
        <x:v>Follow-up</x:v>
      </x:c>
      <x:c r="F76" s="11" t="n">
        <x:v>0</x:v>
      </x:c>
      <x:c r="G76" s="12" t="n">
        <x:f>F76*SUMIFS(Settings!$C$14:$C$17,Settings!$A$14:$A$17,D76)</x:f>
        <x:v>0</x:v>
      </x:c>
      <x:c r="H76" s="2" t="str">
        <x:v>Yes</x:v>
      </x:c>
      <x:c r="I76" s="2" t="str">
        <x:v>Follow-up requested for a later date.</x:v>
      </x:c>
      <x:c r="J76" s="2" t="str">
        <x:v>Day 05!A16:H16</x:v>
      </x:c>
    </x:row>
    <x:row r="77" ht="23" customHeight="1">
      <x:c r="A77" s="7" t="n">
        <x:v>46208.5</x:v>
      </x:c>
      <x:c r="B77" s="2" t="str">
        <x:v>12:35 PM</x:v>
      </x:c>
      <x:c r="C77" s="2" t="str">
        <x:v>FAKE-05-008</x:v>
      </x:c>
      <x:c r="D77" s="2" t="str">
        <x:f>Settings!$A$16</x:f>
        <x:v>Premium Package</x:v>
      </x:c>
      <x:c r="E77" s="2" t="str">
        <x:v>No sale</x:v>
      </x:c>
      <x:c r="F77" s="11" t="n">
        <x:v>0</x:v>
      </x:c>
      <x:c r="G77" s="12" t="n">
        <x:f>F77*SUMIFS(Settings!$C$14:$C$17,Settings!$A$14:$A$17,D77)</x:f>
        <x:v>0</x:v>
      </x:c>
      <x:c r="H77" s="2" t="str">
        <x:v>No</x:v>
      </x:c>
      <x:c r="I77" s="2" t="str">
        <x:v>No selection made; no follow-up needed.</x:v>
      </x:c>
      <x:c r="J77" s="2" t="str">
        <x:v>Day 05!A17:H17</x:v>
      </x:c>
    </x:row>
    <x:row r="78" ht="23" customHeight="1">
      <x:c r="A78" s="7" t="n">
        <x:v>46208.5</x:v>
      </x:c>
      <x:c r="B78" s="2" t="str">
        <x:v>1:05 PM</x:v>
      </x:c>
      <x:c r="C78" s="2" t="str">
        <x:v>FAKE-05-009</x:v>
      </x:c>
      <x:c r="D78" s="2" t="str">
        <x:f>Settings!$A$15</x:f>
        <x:v>Plus Package</x:v>
      </x:c>
      <x:c r="E78" s="2" t="str">
        <x:v>Completed</x:v>
      </x:c>
      <x:c r="F78" s="11" t="n">
        <x:v>1</x:v>
      </x:c>
      <x:c r="G78" s="12" t="n">
        <x:f>F78*SUMIFS(Settings!$C$14:$C$17,Settings!$A$14:$A$17,D78)</x:f>
        <x:v>1.5</x:v>
      </x:c>
      <x:c r="H78" s="2" t="str">
        <x:v>No</x:v>
      </x:c>
      <x:c r="I78" s="2" t="str">
        <x:v>Completed the fictional selection.</x:v>
      </x:c>
      <x:c r="J78" s="2" t="str">
        <x:v>Day 05!A18:H18</x:v>
      </x:c>
    </x:row>
    <x:row r="79" ht="23" customHeight="1">
      <x:c r="A79" s="7" t="n">
        <x:v>46208.5</x:v>
      </x:c>
      <x:c r="B79" s="2" t="str">
        <x:v>1:35 PM</x:v>
      </x:c>
      <x:c r="C79" s="2" t="str">
        <x:v>FAKE-05-010</x:v>
      </x:c>
      <x:c r="D79" s="2" t="str">
        <x:f>Settings!$A$14</x:f>
        <x:v>Core Package</x:v>
      </x:c>
      <x:c r="E79" s="2" t="str">
        <x:v>Completed</x:v>
      </x:c>
      <x:c r="F79" s="11" t="n">
        <x:v>1</x:v>
      </x:c>
      <x:c r="G79" s="12" t="n">
        <x:f>F79*SUMIFS(Settings!$C$14:$C$17,Settings!$A$14:$A$17,D79)</x:f>
        <x:v>1</x:v>
      </x:c>
      <x:c r="H79" s="2" t="str">
        <x:v>No</x:v>
      </x:c>
      <x:c r="I79" s="2" t="str">
        <x:v>Completed the fictional selection.</x:v>
      </x:c>
      <x:c r="J79" s="2" t="str">
        <x:v>Day 05!A19:H19</x:v>
      </x:c>
    </x:row>
    <x:row r="80" ht="23" customHeight="1">
      <x:c r="A80" s="7" t="n">
        <x:v>46208.5</x:v>
      </x:c>
      <x:c r="B80" s="2" t="str">
        <x:v>2:05 PM</x:v>
      </x:c>
      <x:c r="C80" s="2" t="str">
        <x:v>FAKE-05-011</x:v>
      </x:c>
      <x:c r="D80" s="2" t="str">
        <x:f>Settings!$A$17</x:f>
        <x:v>Optional Add-on</x:v>
      </x:c>
      <x:c r="E80" s="2" t="str">
        <x:v>Completed</x:v>
      </x:c>
      <x:c r="F80" s="11" t="n">
        <x:v>1</x:v>
      </x:c>
      <x:c r="G80" s="12" t="n">
        <x:f>F80*SUMIFS(Settings!$C$14:$C$17,Settings!$A$14:$A$17,D80)</x:f>
        <x:v>0.5</x:v>
      </x:c>
      <x:c r="H80" s="2" t="str">
        <x:v>No</x:v>
      </x:c>
      <x:c r="I80" s="2" t="str">
        <x:v>Completed the fictional selection.</x:v>
      </x:c>
      <x:c r="J80" s="2" t="str">
        <x:v>Day 05!A20:H20</x:v>
      </x:c>
    </x:row>
    <x:row r="81" ht="23" customHeight="1">
      <x:c r="A81" s="7" t="n">
        <x:v>46208.5</x:v>
      </x:c>
      <x:c r="B81" s="2" t="str">
        <x:v>2:35 PM</x:v>
      </x:c>
      <x:c r="C81" s="2" t="str">
        <x:v>FAKE-05-012</x:v>
      </x:c>
      <x:c r="D81" s="2" t="str">
        <x:f>Settings!$A$16</x:f>
        <x:v>Premium Package</x:v>
      </x:c>
      <x:c r="E81" s="2" t="str">
        <x:v>Follow-up</x:v>
      </x:c>
      <x:c r="F81" s="11" t="n">
        <x:v>0</x:v>
      </x:c>
      <x:c r="G81" s="12" t="n">
        <x:f>F81*SUMIFS(Settings!$C$14:$C$17,Settings!$A$14:$A$17,D81)</x:f>
        <x:v>0</x:v>
      </x:c>
      <x:c r="H81" s="2" t="str">
        <x:v>Yes</x:v>
      </x:c>
      <x:c r="I81" s="2" t="str">
        <x:v>Follow-up requested for a later date.</x:v>
      </x:c>
      <x:c r="J81" s="2" t="str">
        <x:v>Day 05!A21:H21</x:v>
      </x:c>
    </x:row>
    <x:row r="82" ht="23" customHeight="1">
      <x:c r="A82" s="7" t="n">
        <x:v>46208.5</x:v>
      </x:c>
      <x:c r="B82" s="2" t="str">
        <x:v>3:05 PM</x:v>
      </x:c>
      <x:c r="C82" s="2" t="str">
        <x:v>FAKE-05-013</x:v>
      </x:c>
      <x:c r="D82" s="2" t="str">
        <x:f>Settings!$A$15</x:f>
        <x:v>Plus Package</x:v>
      </x:c>
      <x:c r="E82" s="2" t="str">
        <x:v>No sale</x:v>
      </x:c>
      <x:c r="F82" s="11" t="n">
        <x:v>0</x:v>
      </x:c>
      <x:c r="G82" s="12" t="n">
        <x:f>F82*SUMIFS(Settings!$C$14:$C$17,Settings!$A$14:$A$17,D82)</x:f>
        <x:v>0</x:v>
      </x:c>
      <x:c r="H82" s="2" t="str">
        <x:v>No</x:v>
      </x:c>
      <x:c r="I82" s="2" t="str">
        <x:v>No selection made; no follow-up needed.</x:v>
      </x:c>
      <x:c r="J82" s="2" t="str">
        <x:v>Day 05!A22:H22</x:v>
      </x:c>
    </x:row>
    <x:row r="83" ht="23" customHeight="1">
      <x:c r="A83" s="7" t="n">
        <x:v>46208.5</x:v>
      </x:c>
      <x:c r="B83" s="2" t="str">
        <x:v>3:35 PM</x:v>
      </x:c>
      <x:c r="C83" s="2" t="str">
        <x:v>FAKE-05-014</x:v>
      </x:c>
      <x:c r="D83" s="2" t="str">
        <x:f>Settings!$A$14</x:f>
        <x:v>Core Package</x:v>
      </x:c>
      <x:c r="E83" s="2" t="str">
        <x:v>Completed</x:v>
      </x:c>
      <x:c r="F83" s="11" t="n">
        <x:v>1</x:v>
      </x:c>
      <x:c r="G83" s="12" t="n">
        <x:f>F83*SUMIFS(Settings!$C$14:$C$17,Settings!$A$14:$A$17,D83)</x:f>
        <x:v>1</x:v>
      </x:c>
      <x:c r="H83" s="2" t="str">
        <x:v>No</x:v>
      </x:c>
      <x:c r="I83" s="2" t="str">
        <x:v>Completed the fictional selection.</x:v>
      </x:c>
      <x:c r="J83" s="2" t="str">
        <x:v>Day 05!A23:H23</x:v>
      </x:c>
    </x:row>
    <x:row r="84" ht="23" customHeight="1">
      <x:c r="A84" s="7" t="n">
        <x:v>46208.5</x:v>
      </x:c>
      <x:c r="B84" s="2" t="str">
        <x:v>4:05 PM</x:v>
      </x:c>
      <x:c r="C84" s="2" t="str">
        <x:v>FAKE-05-015</x:v>
      </x:c>
      <x:c r="D84" s="2" t="str">
        <x:f>Settings!$A$17</x:f>
        <x:v>Optional Add-on</x:v>
      </x:c>
      <x:c r="E84" s="2" t="str">
        <x:v>Completed</x:v>
      </x:c>
      <x:c r="F84" s="11" t="n">
        <x:v>1</x:v>
      </x:c>
      <x:c r="G84" s="12" t="n">
        <x:f>F84*SUMIFS(Settings!$C$14:$C$17,Settings!$A$14:$A$17,D84)</x:f>
        <x:v>0.5</x:v>
      </x:c>
      <x:c r="H84" s="2" t="str">
        <x:v>No</x:v>
      </x:c>
      <x:c r="I84" s="2" t="str">
        <x:v>Completed the fictional selection.</x:v>
      </x:c>
      <x:c r="J84" s="2" t="str">
        <x:v>Day 05!A24:H24</x:v>
      </x:c>
    </x:row>
    <x:row r="85" ht="23" customHeight="1">
      <x:c r="A85" s="7" t="n">
        <x:v>46208.5</x:v>
      </x:c>
      <x:c r="B85" s="2" t="str">
        <x:v>4:35 PM</x:v>
      </x:c>
      <x:c r="C85" s="2" t="str">
        <x:v>FAKE-05-016</x:v>
      </x:c>
      <x:c r="D85" s="2" t="str">
        <x:f>Settings!$A$16</x:f>
        <x:v>Premium Package</x:v>
      </x:c>
      <x:c r="E85" s="2" t="str">
        <x:v>Completed</x:v>
      </x:c>
      <x:c r="F85" s="11" t="n">
        <x:v>1</x:v>
      </x:c>
      <x:c r="G85" s="12" t="n">
        <x:f>F85*SUMIFS(Settings!$C$14:$C$17,Settings!$A$14:$A$17,D85)</x:f>
        <x:v>2</x:v>
      </x:c>
      <x:c r="H85" s="2" t="str">
        <x:v>No</x:v>
      </x:c>
      <x:c r="I85" s="2" t="str">
        <x:v>Completed the fictional selection.</x:v>
      </x:c>
      <x:c r="J85" s="2" t="str">
        <x:v>Day 05!A25:H25</x:v>
      </x:c>
    </x:row>
    <x:row r="86" ht="23" customHeight="1">
      <x:c r="A86" s="7" t="n">
        <x:v>46209.5</x:v>
      </x:c>
      <x:c r="B86" s="2" t="str">
        <x:v>9:05 AM</x:v>
      </x:c>
      <x:c r="C86" s="2" t="str">
        <x:v>FAKE-06-001</x:v>
      </x:c>
      <x:c r="D86" s="2" t="str">
        <x:f>Settings!$A$16</x:f>
        <x:v>Premium Package</x:v>
      </x:c>
      <x:c r="E86" s="2" t="str">
        <x:v>No sale</x:v>
      </x:c>
      <x:c r="F86" s="11" t="n">
        <x:v>0</x:v>
      </x:c>
      <x:c r="G86" s="12" t="n">
        <x:f>F86*SUMIFS(Settings!$C$14:$C$17,Settings!$A$14:$A$17,D86)</x:f>
        <x:v>0</x:v>
      </x:c>
      <x:c r="H86" s="2" t="str">
        <x:v>No</x:v>
      </x:c>
      <x:c r="I86" s="2" t="str">
        <x:v>No selection made; no follow-up needed.</x:v>
      </x:c>
      <x:c r="J86" s="2" t="str">
        <x:v>Day 06!A10:H10</x:v>
      </x:c>
    </x:row>
    <x:row r="87" ht="23" customHeight="1">
      <x:c r="A87" s="7" t="n">
        <x:v>46209.5</x:v>
      </x:c>
      <x:c r="B87" s="2" t="str">
        <x:v>9:35 AM</x:v>
      </x:c>
      <x:c r="C87" s="2" t="str">
        <x:v>FAKE-06-002</x:v>
      </x:c>
      <x:c r="D87" s="2" t="str">
        <x:f>Settings!$A$15</x:f>
        <x:v>Plus Package</x:v>
      </x:c>
      <x:c r="E87" s="2" t="str">
        <x:v>Completed</x:v>
      </x:c>
      <x:c r="F87" s="11" t="n">
        <x:v>2</x:v>
      </x:c>
      <x:c r="G87" s="12" t="n">
        <x:f>F87*SUMIFS(Settings!$C$14:$C$17,Settings!$A$14:$A$17,D87)</x:f>
        <x:v>3</x:v>
      </x:c>
      <x:c r="H87" s="2" t="str">
        <x:v>No</x:v>
      </x:c>
      <x:c r="I87" s="2" t="str">
        <x:v>Completed the fictional selection.</x:v>
      </x:c>
      <x:c r="J87" s="2" t="str">
        <x:v>Day 06!A11:H11</x:v>
      </x:c>
    </x:row>
    <x:row r="88" ht="23" customHeight="1">
      <x:c r="A88" s="7" t="n">
        <x:v>46209.5</x:v>
      </x:c>
      <x:c r="B88" s="2" t="str">
        <x:v>10:05 AM</x:v>
      </x:c>
      <x:c r="C88" s="2" t="str">
        <x:v>FAKE-06-003</x:v>
      </x:c>
      <x:c r="D88" s="2" t="str">
        <x:f>Settings!$A$14</x:f>
        <x:v>Core Package</x:v>
      </x:c>
      <x:c r="E88" s="2" t="str">
        <x:v>Completed</x:v>
      </x:c>
      <x:c r="F88" s="11" t="n">
        <x:v>1</x:v>
      </x:c>
      <x:c r="G88" s="12" t="n">
        <x:f>F88*SUMIFS(Settings!$C$14:$C$17,Settings!$A$14:$A$17,D88)</x:f>
        <x:v>1</x:v>
      </x:c>
      <x:c r="H88" s="2" t="str">
        <x:v>No</x:v>
      </x:c>
      <x:c r="I88" s="2" t="str">
        <x:v>Completed the fictional selection.</x:v>
      </x:c>
      <x:c r="J88" s="2" t="str">
        <x:v>Day 06!A12:H12</x:v>
      </x:c>
    </x:row>
    <x:row r="89" ht="23" customHeight="1">
      <x:c r="A89" s="7" t="n">
        <x:v>46209.5</x:v>
      </x:c>
      <x:c r="B89" s="2" t="str">
        <x:v>10:35 AM</x:v>
      </x:c>
      <x:c r="C89" s="2" t="str">
        <x:v>FAKE-06-004</x:v>
      </x:c>
      <x:c r="D89" s="2" t="str">
        <x:f>Settings!$A$17</x:f>
        <x:v>Optional Add-on</x:v>
      </x:c>
      <x:c r="E89" s="2" t="str">
        <x:v>Completed</x:v>
      </x:c>
      <x:c r="F89" s="11" t="n">
        <x:v>1</x:v>
      </x:c>
      <x:c r="G89" s="12" t="n">
        <x:f>F89*SUMIFS(Settings!$C$14:$C$17,Settings!$A$14:$A$17,D89)</x:f>
        <x:v>0.5</x:v>
      </x:c>
      <x:c r="H89" s="2" t="str">
        <x:v>No</x:v>
      </x:c>
      <x:c r="I89" s="2" t="str">
        <x:v>Completed the fictional selection.</x:v>
      </x:c>
      <x:c r="J89" s="2" t="str">
        <x:v>Day 06!A13:H13</x:v>
      </x:c>
    </x:row>
    <x:row r="90" ht="23" customHeight="1">
      <x:c r="A90" s="7" t="n">
        <x:v>46209.5</x:v>
      </x:c>
      <x:c r="B90" s="2" t="str">
        <x:v>11:05 AM</x:v>
      </x:c>
      <x:c r="C90" s="2" t="str">
        <x:v>FAKE-06-005</x:v>
      </x:c>
      <x:c r="D90" s="2" t="str">
        <x:f>Settings!$A$16</x:f>
        <x:v>Premium Package</x:v>
      </x:c>
      <x:c r="E90" s="2" t="str">
        <x:v>Follow-up</x:v>
      </x:c>
      <x:c r="F90" s="11" t="n">
        <x:v>0</x:v>
      </x:c>
      <x:c r="G90" s="12" t="n">
        <x:f>F90*SUMIFS(Settings!$C$14:$C$17,Settings!$A$14:$A$17,D90)</x:f>
        <x:v>0</x:v>
      </x:c>
      <x:c r="H90" s="2" t="str">
        <x:v>Yes</x:v>
      </x:c>
      <x:c r="I90" s="2" t="str">
        <x:v>Follow-up requested for a later date.</x:v>
      </x:c>
      <x:c r="J90" s="2" t="str">
        <x:v>Day 06!A14:H14</x:v>
      </x:c>
    </x:row>
    <x:row r="91" ht="23" customHeight="1">
      <x:c r="A91" s="7" t="n">
        <x:v>46209.5</x:v>
      </x:c>
      <x:c r="B91" s="2" t="str">
        <x:v>11:35 AM</x:v>
      </x:c>
      <x:c r="C91" s="2" t="str">
        <x:v>FAKE-06-006</x:v>
      </x:c>
      <x:c r="D91" s="2" t="str">
        <x:f>Settings!$A$15</x:f>
        <x:v>Plus Package</x:v>
      </x:c>
      <x:c r="E91" s="2" t="str">
        <x:v>No sale</x:v>
      </x:c>
      <x:c r="F91" s="11" t="n">
        <x:v>0</x:v>
      </x:c>
      <x:c r="G91" s="12" t="n">
        <x:f>F91*SUMIFS(Settings!$C$14:$C$17,Settings!$A$14:$A$17,D91)</x:f>
        <x:v>0</x:v>
      </x:c>
      <x:c r="H91" s="2" t="str">
        <x:v>No</x:v>
      </x:c>
      <x:c r="I91" s="2" t="str">
        <x:v>No selection made; no follow-up needed.</x:v>
      </x:c>
      <x:c r="J91" s="2" t="str">
        <x:v>Day 06!A15:H15</x:v>
      </x:c>
    </x:row>
    <x:row r="92" ht="23" customHeight="1">
      <x:c r="A92" s="7" t="n">
        <x:v>46209.5</x:v>
      </x:c>
      <x:c r="B92" s="2" t="str">
        <x:v>12:05 PM</x:v>
      </x:c>
      <x:c r="C92" s="2" t="str">
        <x:v>FAKE-06-007</x:v>
      </x:c>
      <x:c r="D92" s="2" t="str">
        <x:f>Settings!$A$14</x:f>
        <x:v>Core Package</x:v>
      </x:c>
      <x:c r="E92" s="2" t="str">
        <x:v>Completed</x:v>
      </x:c>
      <x:c r="F92" s="11" t="n">
        <x:v>2</x:v>
      </x:c>
      <x:c r="G92" s="12" t="n">
        <x:f>F92*SUMIFS(Settings!$C$14:$C$17,Settings!$A$14:$A$17,D92)</x:f>
        <x:v>2</x:v>
      </x:c>
      <x:c r="H92" s="2" t="str">
        <x:v>No</x:v>
      </x:c>
      <x:c r="I92" s="2" t="str">
        <x:v>Completed the fictional selection.</x:v>
      </x:c>
      <x:c r="J92" s="2" t="str">
        <x:v>Day 06!A16:H16</x:v>
      </x:c>
    </x:row>
    <x:row r="93" ht="23" customHeight="1">
      <x:c r="A93" s="7" t="n">
        <x:v>46209.5</x:v>
      </x:c>
      <x:c r="B93" s="2" t="str">
        <x:v>12:35 PM</x:v>
      </x:c>
      <x:c r="C93" s="2" t="str">
        <x:v>FAKE-06-008</x:v>
      </x:c>
      <x:c r="D93" s="2" t="str">
        <x:f>Settings!$A$17</x:f>
        <x:v>Optional Add-on</x:v>
      </x:c>
      <x:c r="E93" s="2" t="str">
        <x:v>Completed</x:v>
      </x:c>
      <x:c r="F93" s="11" t="n">
        <x:v>1</x:v>
      </x:c>
      <x:c r="G93" s="12" t="n">
        <x:f>F93*SUMIFS(Settings!$C$14:$C$17,Settings!$A$14:$A$17,D93)</x:f>
        <x:v>0.5</x:v>
      </x:c>
      <x:c r="H93" s="2" t="str">
        <x:v>No</x:v>
      </x:c>
      <x:c r="I93" s="2" t="str">
        <x:v>Completed the fictional selection.</x:v>
      </x:c>
      <x:c r="J93" s="2" t="str">
        <x:v>Day 06!A17:H17</x:v>
      </x:c>
    </x:row>
    <x:row r="94" ht="23" customHeight="1">
      <x:c r="A94" s="7" t="n">
        <x:v>46209.5</x:v>
      </x:c>
      <x:c r="B94" s="2" t="str">
        <x:v>1:05 PM</x:v>
      </x:c>
      <x:c r="C94" s="2" t="str">
        <x:v>FAKE-06-009</x:v>
      </x:c>
      <x:c r="D94" s="2" t="str">
        <x:f>Settings!$A$16</x:f>
        <x:v>Premium Package</x:v>
      </x:c>
      <x:c r="E94" s="2" t="str">
        <x:v>Completed</x:v>
      </x:c>
      <x:c r="F94" s="11" t="n">
        <x:v>1</x:v>
      </x:c>
      <x:c r="G94" s="12" t="n">
        <x:f>F94*SUMIFS(Settings!$C$14:$C$17,Settings!$A$14:$A$17,D94)</x:f>
        <x:v>2</x:v>
      </x:c>
      <x:c r="H94" s="2" t="str">
        <x:v>No</x:v>
      </x:c>
      <x:c r="I94" s="2" t="str">
        <x:v>Completed the fictional selection.</x:v>
      </x:c>
      <x:c r="J94" s="2" t="str">
        <x:v>Day 06!A18:H18</x:v>
      </x:c>
    </x:row>
    <x:row r="95" ht="23" customHeight="1">
      <x:c r="A95" s="7" t="n">
        <x:v>46209.5</x:v>
      </x:c>
      <x:c r="B95" s="2" t="str">
        <x:v>1:35 PM</x:v>
      </x:c>
      <x:c r="C95" s="2" t="str">
        <x:v>FAKE-06-010</x:v>
      </x:c>
      <x:c r="D95" s="2" t="str">
        <x:f>Settings!$A$15</x:f>
        <x:v>Plus Package</x:v>
      </x:c>
      <x:c r="E95" s="2" t="str">
        <x:v>Follow-up</x:v>
      </x:c>
      <x:c r="F95" s="11" t="n">
        <x:v>0</x:v>
      </x:c>
      <x:c r="G95" s="12" t="n">
        <x:f>F95*SUMIFS(Settings!$C$14:$C$17,Settings!$A$14:$A$17,D95)</x:f>
        <x:v>0</x:v>
      </x:c>
      <x:c r="H95" s="2" t="str">
        <x:v>Yes</x:v>
      </x:c>
      <x:c r="I95" s="2" t="str">
        <x:v>Follow-up requested for a later date.</x:v>
      </x:c>
      <x:c r="J95" s="2" t="str">
        <x:v>Day 06!A19:H19</x:v>
      </x:c>
    </x:row>
    <x:row r="96" ht="23" customHeight="1">
      <x:c r="A96" s="7" t="n">
        <x:v>46209.5</x:v>
      </x:c>
      <x:c r="B96" s="2" t="str">
        <x:v>2:05 PM</x:v>
      </x:c>
      <x:c r="C96" s="2" t="str">
        <x:v>FAKE-06-011</x:v>
      </x:c>
      <x:c r="D96" s="2" t="str">
        <x:f>Settings!$A$14</x:f>
        <x:v>Core Package</x:v>
      </x:c>
      <x:c r="E96" s="2" t="str">
        <x:v>No sale</x:v>
      </x:c>
      <x:c r="F96" s="11" t="n">
        <x:v>0</x:v>
      </x:c>
      <x:c r="G96" s="12" t="n">
        <x:f>F96*SUMIFS(Settings!$C$14:$C$17,Settings!$A$14:$A$17,D96)</x:f>
        <x:v>0</x:v>
      </x:c>
      <x:c r="H96" s="2" t="str">
        <x:v>No</x:v>
      </x:c>
      <x:c r="I96" s="2" t="str">
        <x:v>No selection made; no follow-up needed.</x:v>
      </x:c>
      <x:c r="J96" s="2" t="str">
        <x:v>Day 06!A20:H20</x:v>
      </x:c>
    </x:row>
    <x:row r="97" ht="23" customHeight="1">
      <x:c r="A97" s="7" t="n">
        <x:v>46209.5</x:v>
      </x:c>
      <x:c r="B97" s="2" t="str">
        <x:v>2:35 PM</x:v>
      </x:c>
      <x:c r="C97" s="2" t="str">
        <x:v>FAKE-06-012</x:v>
      </x:c>
      <x:c r="D97" s="2" t="str">
        <x:f>Settings!$A$17</x:f>
        <x:v>Optional Add-on</x:v>
      </x:c>
      <x:c r="E97" s="2" t="str">
        <x:v>Completed</x:v>
      </x:c>
      <x:c r="F97" s="11" t="n">
        <x:v>2</x:v>
      </x:c>
      <x:c r="G97" s="12" t="n">
        <x:f>F97*SUMIFS(Settings!$C$14:$C$17,Settings!$A$14:$A$17,D97)</x:f>
        <x:v>1</x:v>
      </x:c>
      <x:c r="H97" s="2" t="str">
        <x:v>No</x:v>
      </x:c>
      <x:c r="I97" s="2" t="str">
        <x:v>Completed the fictional selection.</x:v>
      </x:c>
      <x:c r="J97" s="2" t="str">
        <x:v>Day 06!A21:H21</x:v>
      </x:c>
    </x:row>
    <x:row r="98" ht="23" customHeight="1">
      <x:c r="A98" s="7" t="n">
        <x:v>46209.5</x:v>
      </x:c>
      <x:c r="B98" s="2" t="str">
        <x:v>3:05 PM</x:v>
      </x:c>
      <x:c r="C98" s="2" t="str">
        <x:v>FAKE-06-013</x:v>
      </x:c>
      <x:c r="D98" s="2" t="str">
        <x:f>Settings!$A$16</x:f>
        <x:v>Premium Package</x:v>
      </x:c>
      <x:c r="E98" s="2" t="str">
        <x:v>Completed</x:v>
      </x:c>
      <x:c r="F98" s="11" t="n">
        <x:v>1</x:v>
      </x:c>
      <x:c r="G98" s="12" t="n">
        <x:f>F98*SUMIFS(Settings!$C$14:$C$17,Settings!$A$14:$A$17,D98)</x:f>
        <x:v>2</x:v>
      </x:c>
      <x:c r="H98" s="2" t="str">
        <x:v>No</x:v>
      </x:c>
      <x:c r="I98" s="2" t="str">
        <x:v>Completed the fictional selection.</x:v>
      </x:c>
      <x:c r="J98" s="2" t="str">
        <x:v>Day 06!A22:H22</x:v>
      </x:c>
    </x:row>
    <x:row r="99" ht="23" customHeight="1">
      <x:c r="A99" s="7" t="n">
        <x:v>46209.5</x:v>
      </x:c>
      <x:c r="B99" s="2" t="str">
        <x:v>3:35 PM</x:v>
      </x:c>
      <x:c r="C99" s="2" t="str">
        <x:v>FAKE-06-014</x:v>
      </x:c>
      <x:c r="D99" s="2" t="str">
        <x:f>Settings!$A$15</x:f>
        <x:v>Plus Package</x:v>
      </x:c>
      <x:c r="E99" s="2" t="str">
        <x:v>Completed</x:v>
      </x:c>
      <x:c r="F99" s="11" t="n">
        <x:v>1</x:v>
      </x:c>
      <x:c r="G99" s="12" t="n">
        <x:f>F99*SUMIFS(Settings!$C$14:$C$17,Settings!$A$14:$A$17,D99)</x:f>
        <x:v>1.5</x:v>
      </x:c>
      <x:c r="H99" s="2" t="str">
        <x:v>No</x:v>
      </x:c>
      <x:c r="I99" s="2" t="str">
        <x:v>Completed the fictional selection.</x:v>
      </x:c>
      <x:c r="J99" s="2" t="str">
        <x:v>Day 06!A23:H23</x:v>
      </x:c>
    </x:row>
    <x:row r="100" ht="23" customHeight="1">
      <x:c r="A100" s="7" t="n">
        <x:v>46210.5</x:v>
      </x:c>
      <x:c r="B100" s="2" t="str">
        <x:v>9:05 AM</x:v>
      </x:c>
      <x:c r="C100" s="2" t="str">
        <x:v>FAKE-07-001</x:v>
      </x:c>
      <x:c r="D100" s="2" t="str">
        <x:f>Settings!$A$17</x:f>
        <x:v>Optional Add-on</x:v>
      </x:c>
      <x:c r="E100" s="2" t="str">
        <x:v>Completed</x:v>
      </x:c>
      <x:c r="F100" s="11" t="n">
        <x:v>1</x:v>
      </x:c>
      <x:c r="G100" s="12" t="n">
        <x:f>F100*SUMIFS(Settings!$C$14:$C$17,Settings!$A$14:$A$17,D100)</x:f>
        <x:v>0.5</x:v>
      </x:c>
      <x:c r="H100" s="2" t="str">
        <x:v>No</x:v>
      </x:c>
      <x:c r="I100" s="2" t="str">
        <x:v>Completed the fictional selection.</x:v>
      </x:c>
      <x:c r="J100" s="2" t="str">
        <x:v>Day 07!A10:H10</x:v>
      </x:c>
    </x:row>
    <x:row r="101" ht="23" customHeight="1">
      <x:c r="A101" s="7" t="n">
        <x:v>46210.5</x:v>
      </x:c>
      <x:c r="B101" s="2" t="str">
        <x:v>9:35 AM</x:v>
      </x:c>
      <x:c r="C101" s="2" t="str">
        <x:v>FAKE-07-002</x:v>
      </x:c>
      <x:c r="D101" s="2" t="str">
        <x:f>Settings!$A$16</x:f>
        <x:v>Premium Package</x:v>
      </x:c>
      <x:c r="E101" s="2" t="str">
        <x:v>Completed</x:v>
      </x:c>
      <x:c r="F101" s="11" t="n">
        <x:v>1</x:v>
      </x:c>
      <x:c r="G101" s="12" t="n">
        <x:f>F101*SUMIFS(Settings!$C$14:$C$17,Settings!$A$14:$A$17,D101)</x:f>
        <x:v>2</x:v>
      </x:c>
      <x:c r="H101" s="2" t="str">
        <x:v>No</x:v>
      </x:c>
      <x:c r="I101" s="2" t="str">
        <x:v>Completed the fictional selection.</x:v>
      </x:c>
      <x:c r="J101" s="2" t="str">
        <x:v>Day 07!A11:H11</x:v>
      </x:c>
    </x:row>
    <x:row r="102" ht="23" customHeight="1">
      <x:c r="A102" s="7" t="n">
        <x:v>46210.5</x:v>
      </x:c>
      <x:c r="B102" s="2" t="str">
        <x:v>10:05 AM</x:v>
      </x:c>
      <x:c r="C102" s="2" t="str">
        <x:v>FAKE-07-003</x:v>
      </x:c>
      <x:c r="D102" s="2" t="str">
        <x:f>Settings!$A$15</x:f>
        <x:v>Plus Package</x:v>
      </x:c>
      <x:c r="E102" s="2" t="str">
        <x:v>Completed</x:v>
      </x:c>
      <x:c r="F102" s="11" t="n">
        <x:v>1</x:v>
      </x:c>
      <x:c r="G102" s="12" t="n">
        <x:f>F102*SUMIFS(Settings!$C$14:$C$17,Settings!$A$14:$A$17,D102)</x:f>
        <x:v>1.5</x:v>
      </x:c>
      <x:c r="H102" s="2" t="str">
        <x:v>No</x:v>
      </x:c>
      <x:c r="I102" s="2" t="str">
        <x:v>Completed the fictional selection.</x:v>
      </x:c>
      <x:c r="J102" s="2" t="str">
        <x:v>Day 07!A12:H12</x:v>
      </x:c>
    </x:row>
    <x:row r="103" ht="23" customHeight="1">
      <x:c r="A103" s="7" t="n">
        <x:v>46210.5</x:v>
      </x:c>
      <x:c r="B103" s="2" t="str">
        <x:v>10:35 AM</x:v>
      </x:c>
      <x:c r="C103" s="2" t="str">
        <x:v>FAKE-07-004</x:v>
      </x:c>
      <x:c r="D103" s="2" t="str">
        <x:f>Settings!$A$14</x:f>
        <x:v>Core Package</x:v>
      </x:c>
      <x:c r="E103" s="2" t="str">
        <x:v>Follow-up</x:v>
      </x:c>
      <x:c r="F103" s="11" t="n">
        <x:v>0</x:v>
      </x:c>
      <x:c r="G103" s="12" t="n">
        <x:f>F103*SUMIFS(Settings!$C$14:$C$17,Settings!$A$14:$A$17,D103)</x:f>
        <x:v>0</x:v>
      </x:c>
      <x:c r="H103" s="2" t="str">
        <x:v>Yes</x:v>
      </x:c>
      <x:c r="I103" s="2" t="str">
        <x:v>Follow-up requested for a later date.</x:v>
      </x:c>
      <x:c r="J103" s="2" t="str">
        <x:v>Day 07!A13:H13</x:v>
      </x:c>
    </x:row>
    <x:row r="104" ht="23" customHeight="1">
      <x:c r="A104" s="7" t="n">
        <x:v>46210.5</x:v>
      </x:c>
      <x:c r="B104" s="2" t="str">
        <x:v>11:05 AM</x:v>
      </x:c>
      <x:c r="C104" s="2" t="str">
        <x:v>FAKE-07-005</x:v>
      </x:c>
      <x:c r="D104" s="2" t="str">
        <x:f>Settings!$A$17</x:f>
        <x:v>Optional Add-on</x:v>
      </x:c>
      <x:c r="E104" s="2" t="str">
        <x:v>No sale</x:v>
      </x:c>
      <x:c r="F104" s="11" t="n">
        <x:v>0</x:v>
      </x:c>
      <x:c r="G104" s="12" t="n">
        <x:f>F104*SUMIFS(Settings!$C$14:$C$17,Settings!$A$14:$A$17,D104)</x:f>
        <x:v>0</x:v>
      </x:c>
      <x:c r="H104" s="2" t="str">
        <x:v>No</x:v>
      </x:c>
      <x:c r="I104" s="2" t="str">
        <x:v>No selection made; no follow-up needed.</x:v>
      </x:c>
      <x:c r="J104" s="2" t="str">
        <x:v>Day 07!A14:H14</x:v>
      </x:c>
    </x:row>
    <x:row r="105" ht="23" customHeight="1">
      <x:c r="A105" s="7" t="n">
        <x:v>46210.5</x:v>
      </x:c>
      <x:c r="B105" s="2" t="str">
        <x:v>11:35 AM</x:v>
      </x:c>
      <x:c r="C105" s="2" t="str">
        <x:v>FAKE-07-006</x:v>
      </x:c>
      <x:c r="D105" s="2" t="str">
        <x:f>Settings!$A$16</x:f>
        <x:v>Premium Package</x:v>
      </x:c>
      <x:c r="E105" s="2" t="str">
        <x:v>Completed</x:v>
      </x:c>
      <x:c r="F105" s="11" t="n">
        <x:v>1</x:v>
      </x:c>
      <x:c r="G105" s="12" t="n">
        <x:f>F105*SUMIFS(Settings!$C$14:$C$17,Settings!$A$14:$A$17,D105)</x:f>
        <x:v>2</x:v>
      </x:c>
      <x:c r="H105" s="2" t="str">
        <x:v>No</x:v>
      </x:c>
      <x:c r="I105" s="2" t="str">
        <x:v>Completed the fictional selection.</x:v>
      </x:c>
      <x:c r="J105" s="2" t="str">
        <x:v>Day 07!A15:H15</x:v>
      </x:c>
    </x:row>
    <x:row r="106" ht="23" customHeight="1">
      <x:c r="A106" s="7" t="n">
        <x:v>46210.5</x:v>
      </x:c>
      <x:c r="B106" s="2" t="str">
        <x:v>12:05 PM</x:v>
      </x:c>
      <x:c r="C106" s="2" t="str">
        <x:v>FAKE-07-007</x:v>
      </x:c>
      <x:c r="D106" s="2" t="str">
        <x:f>Settings!$A$15</x:f>
        <x:v>Plus Package</x:v>
      </x:c>
      <x:c r="E106" s="2" t="str">
        <x:v>Completed</x:v>
      </x:c>
      <x:c r="F106" s="11" t="n">
        <x:v>1</x:v>
      </x:c>
      <x:c r="G106" s="12" t="n">
        <x:f>F106*SUMIFS(Settings!$C$14:$C$17,Settings!$A$14:$A$17,D106)</x:f>
        <x:v>1.5</x:v>
      </x:c>
      <x:c r="H106" s="2" t="str">
        <x:v>No</x:v>
      </x:c>
      <x:c r="I106" s="2" t="str">
        <x:v>Completed the fictional selection.</x:v>
      </x:c>
      <x:c r="J106" s="2" t="str">
        <x:v>Day 07!A16:H16</x:v>
      </x:c>
    </x:row>
    <x:row r="107" ht="23" customHeight="1">
      <x:c r="A107" s="7" t="n">
        <x:v>46210.5</x:v>
      </x:c>
      <x:c r="B107" s="2" t="str">
        <x:v>12:35 PM</x:v>
      </x:c>
      <x:c r="C107" s="2" t="str">
        <x:v>FAKE-07-008</x:v>
      </x:c>
      <x:c r="D107" s="2" t="str">
        <x:f>Settings!$A$14</x:f>
        <x:v>Core Package</x:v>
      </x:c>
      <x:c r="E107" s="2" t="str">
        <x:v>Completed</x:v>
      </x:c>
      <x:c r="F107" s="11" t="n">
        <x:v>1</x:v>
      </x:c>
      <x:c r="G107" s="12" t="n">
        <x:f>F107*SUMIFS(Settings!$C$14:$C$17,Settings!$A$14:$A$17,D107)</x:f>
        <x:v>1</x:v>
      </x:c>
      <x:c r="H107" s="2" t="str">
        <x:v>No</x:v>
      </x:c>
      <x:c r="I107" s="2" t="str">
        <x:v>Completed the fictional selection.</x:v>
      </x:c>
      <x:c r="J107" s="2" t="str">
        <x:v>Day 07!A17:H17</x:v>
      </x:c>
    </x:row>
    <x:row r="108" ht="23" customHeight="1">
      <x:c r="A108" s="7" t="n">
        <x:v>46210.5</x:v>
      </x:c>
      <x:c r="B108" s="2" t="str">
        <x:v>1:05 PM</x:v>
      </x:c>
      <x:c r="C108" s="2" t="str">
        <x:v>FAKE-07-009</x:v>
      </x:c>
      <x:c r="D108" s="2" t="str">
        <x:f>Settings!$A$17</x:f>
        <x:v>Optional Add-on</x:v>
      </x:c>
      <x:c r="E108" s="2" t="str">
        <x:v>Follow-up</x:v>
      </x:c>
      <x:c r="F108" s="11" t="n">
        <x:v>0</x:v>
      </x:c>
      <x:c r="G108" s="12" t="n">
        <x:f>F108*SUMIFS(Settings!$C$14:$C$17,Settings!$A$14:$A$17,D108)</x:f>
        <x:v>0</x:v>
      </x:c>
      <x:c r="H108" s="2" t="str">
        <x:v>Yes</x:v>
      </x:c>
      <x:c r="I108" s="2" t="str">
        <x:v>Follow-up requested for a later date.</x:v>
      </x:c>
      <x:c r="J108" s="2" t="str">
        <x:v>Day 07!A18:H18</x:v>
      </x:c>
    </x:row>
    <x:row r="109" ht="23" customHeight="1">
      <x:c r="A109" s="7" t="n">
        <x:v>46210.5</x:v>
      </x:c>
      <x:c r="B109" s="2" t="str">
        <x:v>1:35 PM</x:v>
      </x:c>
      <x:c r="C109" s="2" t="str">
        <x:v>FAKE-07-010</x:v>
      </x:c>
      <x:c r="D109" s="2" t="str">
        <x:f>Settings!$A$16</x:f>
        <x:v>Premium Package</x:v>
      </x:c>
      <x:c r="E109" s="2" t="str">
        <x:v>No sale</x:v>
      </x:c>
      <x:c r="F109" s="11" t="n">
        <x:v>0</x:v>
      </x:c>
      <x:c r="G109" s="12" t="n">
        <x:f>F109*SUMIFS(Settings!$C$14:$C$17,Settings!$A$14:$A$17,D109)</x:f>
        <x:v>0</x:v>
      </x:c>
      <x:c r="H109" s="2" t="str">
        <x:v>No</x:v>
      </x:c>
      <x:c r="I109" s="2" t="str">
        <x:v>No selection made; no follow-up needed.</x:v>
      </x:c>
      <x:c r="J109" s="2" t="str">
        <x:v>Day 07!A19:H19</x:v>
      </x:c>
    </x:row>
    <x:row r="110" ht="23" customHeight="1">
      <x:c r="A110" s="7" t="n">
        <x:v>46210.5</x:v>
      </x:c>
      <x:c r="B110" s="2" t="str">
        <x:v>2:05 PM</x:v>
      </x:c>
      <x:c r="C110" s="2" t="str">
        <x:v>FAKE-07-011</x:v>
      </x:c>
      <x:c r="D110" s="2" t="str">
        <x:f>Settings!$A$15</x:f>
        <x:v>Plus Package</x:v>
      </x:c>
      <x:c r="E110" s="2" t="str">
        <x:v>Completed</x:v>
      </x:c>
      <x:c r="F110" s="11" t="n">
        <x:v>1</x:v>
      </x:c>
      <x:c r="G110" s="12" t="n">
        <x:f>F110*SUMIFS(Settings!$C$14:$C$17,Settings!$A$14:$A$17,D110)</x:f>
        <x:v>1.5</x:v>
      </x:c>
      <x:c r="H110" s="2" t="str">
        <x:v>No</x:v>
      </x:c>
      <x:c r="I110" s="2" t="str">
        <x:v>Completed the fictional selection.</x:v>
      </x:c>
      <x:c r="J110" s="2" t="str">
        <x:v>Day 07!A20:H20</x:v>
      </x:c>
    </x:row>
    <x:row r="111" ht="23" customHeight="1">
      <x:c r="A111" s="7" t="n">
        <x:v>46210.5</x:v>
      </x:c>
      <x:c r="B111" s="2" t="str">
        <x:v>2:35 PM</x:v>
      </x:c>
      <x:c r="C111" s="2" t="str">
        <x:v>FAKE-07-012</x:v>
      </x:c>
      <x:c r="D111" s="2" t="str">
        <x:f>Settings!$A$14</x:f>
        <x:v>Core Package</x:v>
      </x:c>
      <x:c r="E111" s="2" t="str">
        <x:v>Completed</x:v>
      </x:c>
      <x:c r="F111" s="11" t="n">
        <x:v>1</x:v>
      </x:c>
      <x:c r="G111" s="12" t="n">
        <x:f>F111*SUMIFS(Settings!$C$14:$C$17,Settings!$A$14:$A$17,D111)</x:f>
        <x:v>1</x:v>
      </x:c>
      <x:c r="H111" s="2" t="str">
        <x:v>No</x:v>
      </x:c>
      <x:c r="I111" s="2" t="str">
        <x:v>Completed the fictional selection.</x:v>
      </x:c>
      <x:c r="J111" s="2" t="str">
        <x:v>Day 07!A21:H21</x:v>
      </x:c>
    </x:row>
    <x:row r="112" ht="23" customHeight="1">
      <x:c r="A112" s="7" t="n">
        <x:v>46211.5</x:v>
      </x:c>
      <x:c r="B112" s="2" t="str">
        <x:v>9:05 AM</x:v>
      </x:c>
      <x:c r="C112" s="2" t="str">
        <x:v>FAKE-08-001</x:v>
      </x:c>
      <x:c r="D112" s="2" t="str">
        <x:f>Settings!$A$14</x:f>
        <x:v>Core Package</x:v>
      </x:c>
      <x:c r="E112" s="2" t="str">
        <x:v>Completed</x:v>
      </x:c>
      <x:c r="F112" s="11" t="n">
        <x:v>1</x:v>
      </x:c>
      <x:c r="G112" s="12" t="n">
        <x:f>F112*SUMIFS(Settings!$C$14:$C$17,Settings!$A$14:$A$17,D112)</x:f>
        <x:v>1</x:v>
      </x:c>
      <x:c r="H112" s="2" t="str">
        <x:v>No</x:v>
      </x:c>
      <x:c r="I112" s="2" t="str">
        <x:v>Completed the fictional selection.</x:v>
      </x:c>
      <x:c r="J112" s="2" t="str">
        <x:v>Day 08!A10:H10</x:v>
      </x:c>
    </x:row>
    <x:row r="113" ht="23" customHeight="1">
      <x:c r="A113" s="7" t="n">
        <x:v>46211.5</x:v>
      </x:c>
      <x:c r="B113" s="2" t="str">
        <x:v>9:35 AM</x:v>
      </x:c>
      <x:c r="C113" s="2" t="str">
        <x:v>FAKE-08-002</x:v>
      </x:c>
      <x:c r="D113" s="2" t="str">
        <x:f>Settings!$A$17</x:f>
        <x:v>Optional Add-on</x:v>
      </x:c>
      <x:c r="E113" s="2" t="str">
        <x:v>Follow-up</x:v>
      </x:c>
      <x:c r="F113" s="11" t="n">
        <x:v>0</x:v>
      </x:c>
      <x:c r="G113" s="12" t="n">
        <x:f>F113*SUMIFS(Settings!$C$14:$C$17,Settings!$A$14:$A$17,D113)</x:f>
        <x:v>0</x:v>
      </x:c>
      <x:c r="H113" s="2" t="str">
        <x:v>Yes</x:v>
      </x:c>
      <x:c r="I113" s="2" t="str">
        <x:v>Follow-up requested for a later date.</x:v>
      </x:c>
      <x:c r="J113" s="2" t="str">
        <x:v>Day 08!A11:H11</x:v>
      </x:c>
    </x:row>
    <x:row r="114" ht="23" customHeight="1">
      <x:c r="A114" s="7" t="n">
        <x:v>46211.5</x:v>
      </x:c>
      <x:c r="B114" s="2" t="str">
        <x:v>10:05 AM</x:v>
      </x:c>
      <x:c r="C114" s="2" t="str">
        <x:v>FAKE-08-003</x:v>
      </x:c>
      <x:c r="D114" s="2" t="str">
        <x:f>Settings!$A$16</x:f>
        <x:v>Premium Package</x:v>
      </x:c>
      <x:c r="E114" s="2" t="str">
        <x:v>No sale</x:v>
      </x:c>
      <x:c r="F114" s="11" t="n">
        <x:v>0</x:v>
      </x:c>
      <x:c r="G114" s="12" t="n">
        <x:f>F114*SUMIFS(Settings!$C$14:$C$17,Settings!$A$14:$A$17,D114)</x:f>
        <x:v>0</x:v>
      </x:c>
      <x:c r="H114" s="2" t="str">
        <x:v>No</x:v>
      </x:c>
      <x:c r="I114" s="2" t="str">
        <x:v>No selection made; no follow-up needed.</x:v>
      </x:c>
      <x:c r="J114" s="2" t="str">
        <x:v>Day 08!A12:H12</x:v>
      </x:c>
    </x:row>
    <x:row r="115" ht="23" customHeight="1">
      <x:c r="A115" s="7" t="n">
        <x:v>46211.5</x:v>
      </x:c>
      <x:c r="B115" s="2" t="str">
        <x:v>10:35 AM</x:v>
      </x:c>
      <x:c r="C115" s="2" t="str">
        <x:v>FAKE-08-004</x:v>
      </x:c>
      <x:c r="D115" s="2" t="str">
        <x:f>Settings!$A$15</x:f>
        <x:v>Plus Package</x:v>
      </x:c>
      <x:c r="E115" s="2" t="str">
        <x:v>Completed</x:v>
      </x:c>
      <x:c r="F115" s="11" t="n">
        <x:v>2</x:v>
      </x:c>
      <x:c r="G115" s="12" t="n">
        <x:f>F115*SUMIFS(Settings!$C$14:$C$17,Settings!$A$14:$A$17,D115)</x:f>
        <x:v>3</x:v>
      </x:c>
      <x:c r="H115" s="2" t="str">
        <x:v>No</x:v>
      </x:c>
      <x:c r="I115" s="2" t="str">
        <x:v>Completed the fictional selection.</x:v>
      </x:c>
      <x:c r="J115" s="2" t="str">
        <x:v>Day 08!A13:H13</x:v>
      </x:c>
    </x:row>
    <x:row r="116" ht="23" customHeight="1">
      <x:c r="A116" s="7" t="n">
        <x:v>46211.5</x:v>
      </x:c>
      <x:c r="B116" s="2" t="str">
        <x:v>11:05 AM</x:v>
      </x:c>
      <x:c r="C116" s="2" t="str">
        <x:v>FAKE-08-005</x:v>
      </x:c>
      <x:c r="D116" s="2" t="str">
        <x:f>Settings!$A$14</x:f>
        <x:v>Core Package</x:v>
      </x:c>
      <x:c r="E116" s="2" t="str">
        <x:v>Completed</x:v>
      </x:c>
      <x:c r="F116" s="11" t="n">
        <x:v>1</x:v>
      </x:c>
      <x:c r="G116" s="12" t="n">
        <x:f>F116*SUMIFS(Settings!$C$14:$C$17,Settings!$A$14:$A$17,D116)</x:f>
        <x:v>1</x:v>
      </x:c>
      <x:c r="H116" s="2" t="str">
        <x:v>No</x:v>
      </x:c>
      <x:c r="I116" s="2" t="str">
        <x:v>Completed the fictional selection.</x:v>
      </x:c>
      <x:c r="J116" s="2" t="str">
        <x:v>Day 08!A14:H14</x:v>
      </x:c>
    </x:row>
    <x:row r="117" ht="23" customHeight="1">
      <x:c r="A117" s="7" t="n">
        <x:v>46211.5</x:v>
      </x:c>
      <x:c r="B117" s="2" t="str">
        <x:v>11:35 AM</x:v>
      </x:c>
      <x:c r="C117" s="2" t="str">
        <x:v>FAKE-08-006</x:v>
      </x:c>
      <x:c r="D117" s="2" t="str">
        <x:f>Settings!$A$17</x:f>
        <x:v>Optional Add-on</x:v>
      </x:c>
      <x:c r="E117" s="2" t="str">
        <x:v>Completed</x:v>
      </x:c>
      <x:c r="F117" s="11" t="n">
        <x:v>1</x:v>
      </x:c>
      <x:c r="G117" s="12" t="n">
        <x:f>F117*SUMIFS(Settings!$C$14:$C$17,Settings!$A$14:$A$17,D117)</x:f>
        <x:v>0.5</x:v>
      </x:c>
      <x:c r="H117" s="2" t="str">
        <x:v>No</x:v>
      </x:c>
      <x:c r="I117" s="2" t="str">
        <x:v>Completed the fictional selection.</x:v>
      </x:c>
      <x:c r="J117" s="2" t="str">
        <x:v>Day 08!A15:H15</x:v>
      </x:c>
    </x:row>
    <x:row r="118" ht="23" customHeight="1">
      <x:c r="A118" s="7" t="n">
        <x:v>46211.5</x:v>
      </x:c>
      <x:c r="B118" s="2" t="str">
        <x:v>12:05 PM</x:v>
      </x:c>
      <x:c r="C118" s="2" t="str">
        <x:v>FAKE-08-007</x:v>
      </x:c>
      <x:c r="D118" s="2" t="str">
        <x:f>Settings!$A$16</x:f>
        <x:v>Premium Package</x:v>
      </x:c>
      <x:c r="E118" s="2" t="str">
        <x:v>Follow-up</x:v>
      </x:c>
      <x:c r="F118" s="11" t="n">
        <x:v>0</x:v>
      </x:c>
      <x:c r="G118" s="12" t="n">
        <x:f>F118*SUMIFS(Settings!$C$14:$C$17,Settings!$A$14:$A$17,D118)</x:f>
        <x:v>0</x:v>
      </x:c>
      <x:c r="H118" s="2" t="str">
        <x:v>Yes</x:v>
      </x:c>
      <x:c r="I118" s="2" t="str">
        <x:v>Follow-up requested for a later date.</x:v>
      </x:c>
      <x:c r="J118" s="2" t="str">
        <x:v>Day 08!A16:H16</x:v>
      </x:c>
    </x:row>
    <x:row r="119" ht="23" customHeight="1">
      <x:c r="A119" s="7" t="n">
        <x:v>46211.5</x:v>
      </x:c>
      <x:c r="B119" s="2" t="str">
        <x:v>12:35 PM</x:v>
      </x:c>
      <x:c r="C119" s="2" t="str">
        <x:v>FAKE-08-008</x:v>
      </x:c>
      <x:c r="D119" s="2" t="str">
        <x:f>Settings!$A$15</x:f>
        <x:v>Plus Package</x:v>
      </x:c>
      <x:c r="E119" s="2" t="str">
        <x:v>No sale</x:v>
      </x:c>
      <x:c r="F119" s="11" t="n">
        <x:v>0</x:v>
      </x:c>
      <x:c r="G119" s="12" t="n">
        <x:f>F119*SUMIFS(Settings!$C$14:$C$17,Settings!$A$14:$A$17,D119)</x:f>
        <x:v>0</x:v>
      </x:c>
      <x:c r="H119" s="2" t="str">
        <x:v>No</x:v>
      </x:c>
      <x:c r="I119" s="2" t="str">
        <x:v>No selection made; no follow-up needed.</x:v>
      </x:c>
      <x:c r="J119" s="2" t="str">
        <x:v>Day 08!A17:H17</x:v>
      </x:c>
    </x:row>
    <x:row r="120" ht="23" customHeight="1">
      <x:c r="A120" s="7" t="n">
        <x:v>46211.5</x:v>
      </x:c>
      <x:c r="B120" s="2" t="str">
        <x:v>1:05 PM</x:v>
      </x:c>
      <x:c r="C120" s="2" t="str">
        <x:v>FAKE-08-009</x:v>
      </x:c>
      <x:c r="D120" s="2" t="str">
        <x:f>Settings!$A$14</x:f>
        <x:v>Core Package</x:v>
      </x:c>
      <x:c r="E120" s="2" t="str">
        <x:v>Completed</x:v>
      </x:c>
      <x:c r="F120" s="11" t="n">
        <x:v>2</x:v>
      </x:c>
      <x:c r="G120" s="12" t="n">
        <x:f>F120*SUMIFS(Settings!$C$14:$C$17,Settings!$A$14:$A$17,D120)</x:f>
        <x:v>2</x:v>
      </x:c>
      <x:c r="H120" s="2" t="str">
        <x:v>No</x:v>
      </x:c>
      <x:c r="I120" s="2" t="str">
        <x:v>Completed the fictional selection.</x:v>
      </x:c>
      <x:c r="J120" s="2" t="str">
        <x:v>Day 08!A18:H18</x:v>
      </x:c>
    </x:row>
    <x:row r="121" ht="23" customHeight="1">
      <x:c r="A121" s="7" t="n">
        <x:v>46211.5</x:v>
      </x:c>
      <x:c r="B121" s="2" t="str">
        <x:v>1:35 PM</x:v>
      </x:c>
      <x:c r="C121" s="2" t="str">
        <x:v>FAKE-08-010</x:v>
      </x:c>
      <x:c r="D121" s="2" t="str">
        <x:f>Settings!$A$17</x:f>
        <x:v>Optional Add-on</x:v>
      </x:c>
      <x:c r="E121" s="2" t="str">
        <x:v>Completed</x:v>
      </x:c>
      <x:c r="F121" s="11" t="n">
        <x:v>1</x:v>
      </x:c>
      <x:c r="G121" s="12" t="n">
        <x:f>F121*SUMIFS(Settings!$C$14:$C$17,Settings!$A$14:$A$17,D121)</x:f>
        <x:v>0.5</x:v>
      </x:c>
      <x:c r="H121" s="2" t="str">
        <x:v>No</x:v>
      </x:c>
      <x:c r="I121" s="2" t="str">
        <x:v>Completed the fictional selection.</x:v>
      </x:c>
      <x:c r="J121" s="2" t="str">
        <x:v>Day 08!A19:H19</x:v>
      </x:c>
    </x:row>
    <x:row r="122" ht="23" customHeight="1">
      <x:c r="A122" s="7" t="n">
        <x:v>46211.5</x:v>
      </x:c>
      <x:c r="B122" s="2" t="str">
        <x:v>2:05 PM</x:v>
      </x:c>
      <x:c r="C122" s="2" t="str">
        <x:v>FAKE-08-011</x:v>
      </x:c>
      <x:c r="D122" s="2" t="str">
        <x:f>Settings!$A$16</x:f>
        <x:v>Premium Package</x:v>
      </x:c>
      <x:c r="E122" s="2" t="str">
        <x:v>Completed</x:v>
      </x:c>
      <x:c r="F122" s="11" t="n">
        <x:v>1</x:v>
      </x:c>
      <x:c r="G122" s="12" t="n">
        <x:f>F122*SUMIFS(Settings!$C$14:$C$17,Settings!$A$14:$A$17,D122)</x:f>
        <x:v>2</x:v>
      </x:c>
      <x:c r="H122" s="2" t="str">
        <x:v>No</x:v>
      </x:c>
      <x:c r="I122" s="2" t="str">
        <x:v>Completed the fictional selection.</x:v>
      </x:c>
      <x:c r="J122" s="2" t="str">
        <x:v>Day 08!A20:H20</x:v>
      </x:c>
    </x:row>
    <x:row r="123" ht="23" customHeight="1">
      <x:c r="A123" s="7" t="n">
        <x:v>46211.5</x:v>
      </x:c>
      <x:c r="B123" s="2" t="str">
        <x:v>2:35 PM</x:v>
      </x:c>
      <x:c r="C123" s="2" t="str">
        <x:v>FAKE-08-012</x:v>
      </x:c>
      <x:c r="D123" s="2" t="str">
        <x:f>Settings!$A$15</x:f>
        <x:v>Plus Package</x:v>
      </x:c>
      <x:c r="E123" s="2" t="str">
        <x:v>Follow-up</x:v>
      </x:c>
      <x:c r="F123" s="11" t="n">
        <x:v>0</x:v>
      </x:c>
      <x:c r="G123" s="12" t="n">
        <x:f>F123*SUMIFS(Settings!$C$14:$C$17,Settings!$A$14:$A$17,D123)</x:f>
        <x:v>0</x:v>
      </x:c>
      <x:c r="H123" s="2" t="str">
        <x:v>Yes</x:v>
      </x:c>
      <x:c r="I123" s="2" t="str">
        <x:v>Follow-up requested for a later date.</x:v>
      </x:c>
      <x:c r="J123" s="2" t="str">
        <x:v>Day 08!A21:H21</x:v>
      </x:c>
    </x:row>
    <x:row r="124" ht="23" customHeight="1">
      <x:c r="A124" s="7" t="n">
        <x:v>46211.5</x:v>
      </x:c>
      <x:c r="B124" s="2" t="str">
        <x:v>3:05 PM</x:v>
      </x:c>
      <x:c r="C124" s="2" t="str">
        <x:v>FAKE-08-013</x:v>
      </x:c>
      <x:c r="D124" s="2" t="str">
        <x:f>Settings!$A$14</x:f>
        <x:v>Core Package</x:v>
      </x:c>
      <x:c r="E124" s="2" t="str">
        <x:v>No sale</x:v>
      </x:c>
      <x:c r="F124" s="11" t="n">
        <x:v>0</x:v>
      </x:c>
      <x:c r="G124" s="12" t="n">
        <x:f>F124*SUMIFS(Settings!$C$14:$C$17,Settings!$A$14:$A$17,D124)</x:f>
        <x:v>0</x:v>
      </x:c>
      <x:c r="H124" s="2" t="str">
        <x:v>No</x:v>
      </x:c>
      <x:c r="I124" s="2" t="str">
        <x:v>No selection made; no follow-up needed.</x:v>
      </x:c>
      <x:c r="J124" s="2" t="str">
        <x:v>Day 08!A22:H22</x:v>
      </x:c>
    </x:row>
    <x:row r="125" ht="23" customHeight="1">
      <x:c r="A125" s="7" t="n">
        <x:v>46211.5</x:v>
      </x:c>
      <x:c r="B125" s="2" t="str">
        <x:v>3:35 PM</x:v>
      </x:c>
      <x:c r="C125" s="2" t="str">
        <x:v>FAKE-08-014</x:v>
      </x:c>
      <x:c r="D125" s="2" t="str">
        <x:f>Settings!$A$17</x:f>
        <x:v>Optional Add-on</x:v>
      </x:c>
      <x:c r="E125" s="2" t="str">
        <x:v>Completed</x:v>
      </x:c>
      <x:c r="F125" s="11" t="n">
        <x:v>2</x:v>
      </x:c>
      <x:c r="G125" s="12" t="n">
        <x:f>F125*SUMIFS(Settings!$C$14:$C$17,Settings!$A$14:$A$17,D125)</x:f>
        <x:v>1</x:v>
      </x:c>
      <x:c r="H125" s="2" t="str">
        <x:v>No</x:v>
      </x:c>
      <x:c r="I125" s="2" t="str">
        <x:v>Completed the fictional selection.</x:v>
      </x:c>
      <x:c r="J125" s="2" t="str">
        <x:v>Day 08!A23:H23</x:v>
      </x:c>
    </x:row>
    <x:row r="126" ht="23" customHeight="1">
      <x:c r="A126" s="7" t="n">
        <x:v>46211.5</x:v>
      </x:c>
      <x:c r="B126" s="2" t="str">
        <x:v>4:05 PM</x:v>
      </x:c>
      <x:c r="C126" s="2" t="str">
        <x:v>FAKE-08-015</x:v>
      </x:c>
      <x:c r="D126" s="2" t="str">
        <x:f>Settings!$A$16</x:f>
        <x:v>Premium Package</x:v>
      </x:c>
      <x:c r="E126" s="2" t="str">
        <x:v>Completed</x:v>
      </x:c>
      <x:c r="F126" s="11" t="n">
        <x:v>1</x:v>
      </x:c>
      <x:c r="G126" s="12" t="n">
        <x:f>F126*SUMIFS(Settings!$C$14:$C$17,Settings!$A$14:$A$17,D126)</x:f>
        <x:v>2</x:v>
      </x:c>
      <x:c r="H126" s="2" t="str">
        <x:v>No</x:v>
      </x:c>
      <x:c r="I126" s="2" t="str">
        <x:v>Completed the fictional selection.</x:v>
      </x:c>
      <x:c r="J126" s="2" t="str">
        <x:v>Day 08!A24:H24</x:v>
      </x:c>
    </x:row>
    <x:row r="127" ht="23" customHeight="1">
      <x:c r="A127" s="7" t="n">
        <x:v>46211.5</x:v>
      </x:c>
      <x:c r="B127" s="2" t="str">
        <x:v>4:35 PM</x:v>
      </x:c>
      <x:c r="C127" s="2" t="str">
        <x:v>FAKE-08-016</x:v>
      </x:c>
      <x:c r="D127" s="2" t="str">
        <x:f>Settings!$A$15</x:f>
        <x:v>Plus Package</x:v>
      </x:c>
      <x:c r="E127" s="2" t="str">
        <x:v>Completed</x:v>
      </x:c>
      <x:c r="F127" s="11" t="n">
        <x:v>1</x:v>
      </x:c>
      <x:c r="G127" s="12" t="n">
        <x:f>F127*SUMIFS(Settings!$C$14:$C$17,Settings!$A$14:$A$17,D127)</x:f>
        <x:v>1.5</x:v>
      </x:c>
      <x:c r="H127" s="2" t="str">
        <x:v>No</x:v>
      </x:c>
      <x:c r="I127" s="2" t="str">
        <x:v>Completed the fictional selection.</x:v>
      </x:c>
      <x:c r="J127" s="2" t="str">
        <x:v>Day 08!A25:H25</x:v>
      </x:c>
    </x:row>
    <x:row r="128" ht="23" customHeight="1">
      <x:c r="A128" s="7" t="n">
        <x:v>46211.5</x:v>
      </x:c>
      <x:c r="B128" s="2" t="str">
        <x:v>5:05 PM</x:v>
      </x:c>
      <x:c r="C128" s="2" t="str">
        <x:v>FAKE-08-017</x:v>
      </x:c>
      <x:c r="D128" s="2" t="str">
        <x:f>Settings!$A$14</x:f>
        <x:v>Core Package</x:v>
      </x:c>
      <x:c r="E128" s="2" t="str">
        <x:v>Follow-up</x:v>
      </x:c>
      <x:c r="F128" s="11" t="n">
        <x:v>0</x:v>
      </x:c>
      <x:c r="G128" s="12" t="n">
        <x:f>F128*SUMIFS(Settings!$C$14:$C$17,Settings!$A$14:$A$17,D128)</x:f>
        <x:v>0</x:v>
      </x:c>
      <x:c r="H128" s="2" t="str">
        <x:v>Yes</x:v>
      </x:c>
      <x:c r="I128" s="2" t="str">
        <x:v>Follow-up requested for a later date.</x:v>
      </x:c>
      <x:c r="J128" s="2" t="str">
        <x:v>Day 08!A26:H26</x:v>
      </x:c>
    </x:row>
    <x:row r="129" ht="23" customHeight="1">
      <x:c r="A129" s="7" t="n">
        <x:v>46212.5</x:v>
      </x:c>
      <x:c r="B129" s="2" t="str">
        <x:v>9:05 AM</x:v>
      </x:c>
      <x:c r="C129" s="2" t="str">
        <x:v>FAKE-09-001</x:v>
      </x:c>
      <x:c r="D129" s="2" t="str">
        <x:f>Settings!$A$15</x:f>
        <x:v>Plus Package</x:v>
      </x:c>
      <x:c r="E129" s="2" t="str">
        <x:v>Follow-up</x:v>
      </x:c>
      <x:c r="F129" s="11" t="n">
        <x:v>0</x:v>
      </x:c>
      <x:c r="G129" s="12" t="n">
        <x:f>F129*SUMIFS(Settings!$C$14:$C$17,Settings!$A$14:$A$17,D129)</x:f>
        <x:v>0</x:v>
      </x:c>
      <x:c r="H129" s="2" t="str">
        <x:v>Yes</x:v>
      </x:c>
      <x:c r="I129" s="2" t="str">
        <x:v>Follow-up requested for a later date.</x:v>
      </x:c>
      <x:c r="J129" s="2" t="str">
        <x:v>Day 09!A10:H10</x:v>
      </x:c>
    </x:row>
    <x:row r="130" ht="23" customHeight="1">
      <x:c r="A130" s="7" t="n">
        <x:v>46212.5</x:v>
      </x:c>
      <x:c r="B130" s="2" t="str">
        <x:v>9:35 AM</x:v>
      </x:c>
      <x:c r="C130" s="2" t="str">
        <x:v>FAKE-09-002</x:v>
      </x:c>
      <x:c r="D130" s="2" t="str">
        <x:f>Settings!$A$14</x:f>
        <x:v>Core Package</x:v>
      </x:c>
      <x:c r="E130" s="2" t="str">
        <x:v>No sale</x:v>
      </x:c>
      <x:c r="F130" s="11" t="n">
        <x:v>0</x:v>
      </x:c>
      <x:c r="G130" s="12" t="n">
        <x:f>F130*SUMIFS(Settings!$C$14:$C$17,Settings!$A$14:$A$17,D130)</x:f>
        <x:v>0</x:v>
      </x:c>
      <x:c r="H130" s="2" t="str">
        <x:v>No</x:v>
      </x:c>
      <x:c r="I130" s="2" t="str">
        <x:v>No selection made; no follow-up needed.</x:v>
      </x:c>
      <x:c r="J130" s="2" t="str">
        <x:v>Day 09!A11:H11</x:v>
      </x:c>
    </x:row>
    <x:row r="131" ht="23" customHeight="1">
      <x:c r="A131" s="7" t="n">
        <x:v>46212.5</x:v>
      </x:c>
      <x:c r="B131" s="2" t="str">
        <x:v>10:05 AM</x:v>
      </x:c>
      <x:c r="C131" s="2" t="str">
        <x:v>FAKE-09-003</x:v>
      </x:c>
      <x:c r="D131" s="2" t="str">
        <x:f>Settings!$A$17</x:f>
        <x:v>Optional Add-on</x:v>
      </x:c>
      <x:c r="E131" s="2" t="str">
        <x:v>Completed</x:v>
      </x:c>
      <x:c r="F131" s="11" t="n">
        <x:v>1</x:v>
      </x:c>
      <x:c r="G131" s="12" t="n">
        <x:f>F131*SUMIFS(Settings!$C$14:$C$17,Settings!$A$14:$A$17,D131)</x:f>
        <x:v>0.5</x:v>
      </x:c>
      <x:c r="H131" s="2" t="str">
        <x:v>No</x:v>
      </x:c>
      <x:c r="I131" s="2" t="str">
        <x:v>Completed the fictional selection.</x:v>
      </x:c>
      <x:c r="J131" s="2" t="str">
        <x:v>Day 09!A12:H12</x:v>
      </x:c>
    </x:row>
    <x:row r="132" ht="23" customHeight="1">
      <x:c r="A132" s="7" t="n">
        <x:v>46212.5</x:v>
      </x:c>
      <x:c r="B132" s="2" t="str">
        <x:v>10:35 AM</x:v>
      </x:c>
      <x:c r="C132" s="2" t="str">
        <x:v>FAKE-09-004</x:v>
      </x:c>
      <x:c r="D132" s="2" t="str">
        <x:f>Settings!$A$16</x:f>
        <x:v>Premium Package</x:v>
      </x:c>
      <x:c r="E132" s="2" t="str">
        <x:v>Completed</x:v>
      </x:c>
      <x:c r="F132" s="11" t="n">
        <x:v>1</x:v>
      </x:c>
      <x:c r="G132" s="12" t="n">
        <x:f>F132*SUMIFS(Settings!$C$14:$C$17,Settings!$A$14:$A$17,D132)</x:f>
        <x:v>2</x:v>
      </x:c>
      <x:c r="H132" s="2" t="str">
        <x:v>No</x:v>
      </x:c>
      <x:c r="I132" s="2" t="str">
        <x:v>Completed the fictional selection.</x:v>
      </x:c>
      <x:c r="J132" s="2" t="str">
        <x:v>Day 09!A13:H13</x:v>
      </x:c>
    </x:row>
    <x:row r="133" ht="23" customHeight="1">
      <x:c r="A133" s="7" t="n">
        <x:v>46212.5</x:v>
      </x:c>
      <x:c r="B133" s="2" t="str">
        <x:v>11:05 AM</x:v>
      </x:c>
      <x:c r="C133" s="2" t="str">
        <x:v>FAKE-09-005</x:v>
      </x:c>
      <x:c r="D133" s="2" t="str">
        <x:f>Settings!$A$15</x:f>
        <x:v>Plus Package</x:v>
      </x:c>
      <x:c r="E133" s="2" t="str">
        <x:v>Completed</x:v>
      </x:c>
      <x:c r="F133" s="11" t="n">
        <x:v>1</x:v>
      </x:c>
      <x:c r="G133" s="12" t="n">
        <x:f>F133*SUMIFS(Settings!$C$14:$C$17,Settings!$A$14:$A$17,D133)</x:f>
        <x:v>1.5</x:v>
      </x:c>
      <x:c r="H133" s="2" t="str">
        <x:v>No</x:v>
      </x:c>
      <x:c r="I133" s="2" t="str">
        <x:v>Completed the fictional selection.</x:v>
      </x:c>
      <x:c r="J133" s="2" t="str">
        <x:v>Day 09!A14:H14</x:v>
      </x:c>
    </x:row>
    <x:row r="134" ht="23" customHeight="1">
      <x:c r="A134" s="7" t="n">
        <x:v>46212.5</x:v>
      </x:c>
      <x:c r="B134" s="2" t="str">
        <x:v>11:35 AM</x:v>
      </x:c>
      <x:c r="C134" s="2" t="str">
        <x:v>FAKE-09-006</x:v>
      </x:c>
      <x:c r="D134" s="2" t="str">
        <x:f>Settings!$A$14</x:f>
        <x:v>Core Package</x:v>
      </x:c>
      <x:c r="E134" s="2" t="str">
        <x:v>Follow-up</x:v>
      </x:c>
      <x:c r="F134" s="11" t="n">
        <x:v>0</x:v>
      </x:c>
      <x:c r="G134" s="12" t="n">
        <x:f>F134*SUMIFS(Settings!$C$14:$C$17,Settings!$A$14:$A$17,D134)</x:f>
        <x:v>0</x:v>
      </x:c>
      <x:c r="H134" s="2" t="str">
        <x:v>Yes</x:v>
      </x:c>
      <x:c r="I134" s="2" t="str">
        <x:v>Follow-up requested for a later date.</x:v>
      </x:c>
      <x:c r="J134" s="2" t="str">
        <x:v>Day 09!A15:H15</x:v>
      </x:c>
    </x:row>
    <x:row r="135" ht="23" customHeight="1">
      <x:c r="A135" s="7" t="n">
        <x:v>46212.5</x:v>
      </x:c>
      <x:c r="B135" s="2" t="str">
        <x:v>12:05 PM</x:v>
      </x:c>
      <x:c r="C135" s="2" t="str">
        <x:v>FAKE-09-007</x:v>
      </x:c>
      <x:c r="D135" s="2" t="str">
        <x:f>Settings!$A$17</x:f>
        <x:v>Optional Add-on</x:v>
      </x:c>
      <x:c r="E135" s="2" t="str">
        <x:v>No sale</x:v>
      </x:c>
      <x:c r="F135" s="11" t="n">
        <x:v>0</x:v>
      </x:c>
      <x:c r="G135" s="12" t="n">
        <x:f>F135*SUMIFS(Settings!$C$14:$C$17,Settings!$A$14:$A$17,D135)</x:f>
        <x:v>0</x:v>
      </x:c>
      <x:c r="H135" s="2" t="str">
        <x:v>No</x:v>
      </x:c>
      <x:c r="I135" s="2" t="str">
        <x:v>No selection made; no follow-up needed.</x:v>
      </x:c>
      <x:c r="J135" s="2" t="str">
        <x:v>Day 09!A16:H16</x:v>
      </x:c>
    </x:row>
    <x:row r="136" ht="23" customHeight="1">
      <x:c r="A136" s="7" t="n">
        <x:v>46212.5</x:v>
      </x:c>
      <x:c r="B136" s="2" t="str">
        <x:v>12:35 PM</x:v>
      </x:c>
      <x:c r="C136" s="2" t="str">
        <x:v>FAKE-09-008</x:v>
      </x:c>
      <x:c r="D136" s="2" t="str">
        <x:f>Settings!$A$16</x:f>
        <x:v>Premium Package</x:v>
      </x:c>
      <x:c r="E136" s="2" t="str">
        <x:v>Completed</x:v>
      </x:c>
      <x:c r="F136" s="11" t="n">
        <x:v>1</x:v>
      </x:c>
      <x:c r="G136" s="12" t="n">
        <x:f>F136*SUMIFS(Settings!$C$14:$C$17,Settings!$A$14:$A$17,D136)</x:f>
        <x:v>2</x:v>
      </x:c>
      <x:c r="H136" s="2" t="str">
        <x:v>No</x:v>
      </x:c>
      <x:c r="I136" s="2" t="str">
        <x:v>Completed the fictional selection.</x:v>
      </x:c>
      <x:c r="J136" s="2" t="str">
        <x:v>Day 09!A17:H17</x:v>
      </x:c>
    </x:row>
    <x:row r="137" ht="23" customHeight="1">
      <x:c r="A137" s="7" t="n">
        <x:v>46212.5</x:v>
      </x:c>
      <x:c r="B137" s="2" t="str">
        <x:v>1:05 PM</x:v>
      </x:c>
      <x:c r="C137" s="2" t="str">
        <x:v>FAKE-09-009</x:v>
      </x:c>
      <x:c r="D137" s="2" t="str">
        <x:f>Settings!$A$15</x:f>
        <x:v>Plus Package</x:v>
      </x:c>
      <x:c r="E137" s="2" t="str">
        <x:v>Completed</x:v>
      </x:c>
      <x:c r="F137" s="11" t="n">
        <x:v>1</x:v>
      </x:c>
      <x:c r="G137" s="12" t="n">
        <x:f>F137*SUMIFS(Settings!$C$14:$C$17,Settings!$A$14:$A$17,D137)</x:f>
        <x:v>1.5</x:v>
      </x:c>
      <x:c r="H137" s="2" t="str">
        <x:v>No</x:v>
      </x:c>
      <x:c r="I137" s="2" t="str">
        <x:v>Completed the fictional selection.</x:v>
      </x:c>
      <x:c r="J137" s="2" t="str">
        <x:v>Day 09!A18:H18</x:v>
      </x:c>
    </x:row>
    <x:row r="138" ht="23" customHeight="1">
      <x:c r="A138" s="7" t="n">
        <x:v>46212.5</x:v>
      </x:c>
      <x:c r="B138" s="2" t="str">
        <x:v>1:35 PM</x:v>
      </x:c>
      <x:c r="C138" s="2" t="str">
        <x:v>FAKE-09-010</x:v>
      </x:c>
      <x:c r="D138" s="2" t="str">
        <x:f>Settings!$A$14</x:f>
        <x:v>Core Package</x:v>
      </x:c>
      <x:c r="E138" s="2" t="str">
        <x:v>Completed</x:v>
      </x:c>
      <x:c r="F138" s="11" t="n">
        <x:v>1</x:v>
      </x:c>
      <x:c r="G138" s="12" t="n">
        <x:f>F138*SUMIFS(Settings!$C$14:$C$17,Settings!$A$14:$A$17,D138)</x:f>
        <x:v>1</x:v>
      </x:c>
      <x:c r="H138" s="2" t="str">
        <x:v>No</x:v>
      </x:c>
      <x:c r="I138" s="2" t="str">
        <x:v>Completed the fictional selection.</x:v>
      </x:c>
      <x:c r="J138" s="2" t="str">
        <x:v>Day 09!A19:H19</x:v>
      </x:c>
    </x:row>
    <x:row r="139" ht="23" customHeight="1">
      <x:c r="A139" s="7" t="n">
        <x:v>46212.5</x:v>
      </x:c>
      <x:c r="B139" s="2" t="str">
        <x:v>2:05 PM</x:v>
      </x:c>
      <x:c r="C139" s="2" t="str">
        <x:v>FAKE-09-011</x:v>
      </x:c>
      <x:c r="D139" s="2" t="str">
        <x:f>Settings!$A$17</x:f>
        <x:v>Optional Add-on</x:v>
      </x:c>
      <x:c r="E139" s="2" t="str">
        <x:v>Follow-up</x:v>
      </x:c>
      <x:c r="F139" s="11" t="n">
        <x:v>0</x:v>
      </x:c>
      <x:c r="G139" s="12" t="n">
        <x:f>F139*SUMIFS(Settings!$C$14:$C$17,Settings!$A$14:$A$17,D139)</x:f>
        <x:v>0</x:v>
      </x:c>
      <x:c r="H139" s="2" t="str">
        <x:v>Yes</x:v>
      </x:c>
      <x:c r="I139" s="2" t="str">
        <x:v>Follow-up requested for a later date.</x:v>
      </x:c>
      <x:c r="J139" s="2" t="str">
        <x:v>Day 09!A20:H20</x:v>
      </x:c>
    </x:row>
    <x:row r="140" ht="23" customHeight="1">
      <x:c r="A140" s="7" t="n">
        <x:v>46212.5</x:v>
      </x:c>
      <x:c r="B140" s="2" t="str">
        <x:v>2:35 PM</x:v>
      </x:c>
      <x:c r="C140" s="2" t="str">
        <x:v>FAKE-09-012</x:v>
      </x:c>
      <x:c r="D140" s="2" t="str">
        <x:f>Settings!$A$16</x:f>
        <x:v>Premium Package</x:v>
      </x:c>
      <x:c r="E140" s="2" t="str">
        <x:v>No sale</x:v>
      </x:c>
      <x:c r="F140" s="11" t="n">
        <x:v>0</x:v>
      </x:c>
      <x:c r="G140" s="12" t="n">
        <x:f>F140*SUMIFS(Settings!$C$14:$C$17,Settings!$A$14:$A$17,D140)</x:f>
        <x:v>0</x:v>
      </x:c>
      <x:c r="H140" s="2" t="str">
        <x:v>No</x:v>
      </x:c>
      <x:c r="I140" s="2" t="str">
        <x:v>No selection made; no follow-up needed.</x:v>
      </x:c>
      <x:c r="J140" s="2" t="str">
        <x:v>Day 09!A21:H21</x:v>
      </x:c>
    </x:row>
    <x:row r="141" ht="23" customHeight="1">
      <x:c r="A141" s="7" t="n">
        <x:v>46212.5</x:v>
      </x:c>
      <x:c r="B141" s="2" t="str">
        <x:v>3:05 PM</x:v>
      </x:c>
      <x:c r="C141" s="2" t="str">
        <x:v>FAKE-09-013</x:v>
      </x:c>
      <x:c r="D141" s="2" t="str">
        <x:f>Settings!$A$15</x:f>
        <x:v>Plus Package</x:v>
      </x:c>
      <x:c r="E141" s="2" t="str">
        <x:v>Completed</x:v>
      </x:c>
      <x:c r="F141" s="11" t="n">
        <x:v>1</x:v>
      </x:c>
      <x:c r="G141" s="12" t="n">
        <x:f>F141*SUMIFS(Settings!$C$14:$C$17,Settings!$A$14:$A$17,D141)</x:f>
        <x:v>1.5</x:v>
      </x:c>
      <x:c r="H141" s="2" t="str">
        <x:v>No</x:v>
      </x:c>
      <x:c r="I141" s="2" t="str">
        <x:v>Completed the fictional selection.</x:v>
      </x:c>
      <x:c r="J141" s="2" t="str">
        <x:v>Day 09!A22:H22</x:v>
      </x:c>
    </x:row>
    <x:row r="142" ht="23" customHeight="1">
      <x:c r="A142" s="7" t="n">
        <x:v>46212.5</x:v>
      </x:c>
      <x:c r="B142" s="2" t="str">
        <x:v>3:35 PM</x:v>
      </x:c>
      <x:c r="C142" s="2" t="str">
        <x:v>FAKE-09-014</x:v>
      </x:c>
      <x:c r="D142" s="2" t="str">
        <x:f>Settings!$A$14</x:f>
        <x:v>Core Package</x:v>
      </x:c>
      <x:c r="E142" s="2" t="str">
        <x:v>Completed</x:v>
      </x:c>
      <x:c r="F142" s="11" t="n">
        <x:v>1</x:v>
      </x:c>
      <x:c r="G142" s="12" t="n">
        <x:f>F142*SUMIFS(Settings!$C$14:$C$17,Settings!$A$14:$A$17,D142)</x:f>
        <x:v>1</x:v>
      </x:c>
      <x:c r="H142" s="2" t="str">
        <x:v>No</x:v>
      </x:c>
      <x:c r="I142" s="2" t="str">
        <x:v>Completed the fictional selection.</x:v>
      </x:c>
      <x:c r="J142" s="2" t="str">
        <x:v>Day 09!A23:H23</x:v>
      </x:c>
    </x:row>
    <x:row r="143" ht="23" customHeight="1">
      <x:c r="A143" s="7" t="n">
        <x:v>46212.5</x:v>
      </x:c>
      <x:c r="B143" s="2" t="str">
        <x:v>4:05 PM</x:v>
      </x:c>
      <x:c r="C143" s="2" t="str">
        <x:v>FAKE-09-015</x:v>
      </x:c>
      <x:c r="D143" s="2" t="str">
        <x:f>Settings!$A$17</x:f>
        <x:v>Optional Add-on</x:v>
      </x:c>
      <x:c r="E143" s="2" t="str">
        <x:v>Completed</x:v>
      </x:c>
      <x:c r="F143" s="11" t="n">
        <x:v>1</x:v>
      </x:c>
      <x:c r="G143" s="12" t="n">
        <x:f>F143*SUMIFS(Settings!$C$14:$C$17,Settings!$A$14:$A$17,D143)</x:f>
        <x:v>0.5</x:v>
      </x:c>
      <x:c r="H143" s="2" t="str">
        <x:v>No</x:v>
      </x:c>
      <x:c r="I143" s="2" t="str">
        <x:v>Completed the fictional selection.</x:v>
      </x:c>
      <x:c r="J143" s="2" t="str">
        <x:v>Day 09!A24:H24</x:v>
      </x:c>
    </x:row>
    <x:row r="144" ht="23" customHeight="1">
      <x:c r="A144" s="7" t="n">
        <x:v>46213.5</x:v>
      </x:c>
      <x:c r="B144" s="2" t="str">
        <x:v>9:05 AM</x:v>
      </x:c>
      <x:c r="C144" s="2" t="str">
        <x:v>FAKE-10-001</x:v>
      </x:c>
      <x:c r="D144" s="2" t="str">
        <x:f>Settings!$A$16</x:f>
        <x:v>Premium Package</x:v>
      </x:c>
      <x:c r="E144" s="2" t="str">
        <x:v>Completed</x:v>
      </x:c>
      <x:c r="F144" s="11" t="n">
        <x:v>2</x:v>
      </x:c>
      <x:c r="G144" s="12" t="n">
        <x:f>F144*SUMIFS(Settings!$C$14:$C$17,Settings!$A$14:$A$17,D144)</x:f>
        <x:v>4</x:v>
      </x:c>
      <x:c r="H144" s="2" t="str">
        <x:v>No</x:v>
      </x:c>
      <x:c r="I144" s="2" t="str">
        <x:v>Completed the fictional selection.</x:v>
      </x:c>
      <x:c r="J144" s="2" t="str">
        <x:v>Day 10!A10:H10</x:v>
      </x:c>
    </x:row>
    <x:row r="145" ht="23" customHeight="1">
      <x:c r="A145" s="7" t="n">
        <x:v>46213.5</x:v>
      </x:c>
      <x:c r="B145" s="2" t="str">
        <x:v>9:35 AM</x:v>
      </x:c>
      <x:c r="C145" s="2" t="str">
        <x:v>FAKE-10-002</x:v>
      </x:c>
      <x:c r="D145" s="2" t="str">
        <x:f>Settings!$A$15</x:f>
        <x:v>Plus Package</x:v>
      </x:c>
      <x:c r="E145" s="2" t="str">
        <x:v>Completed</x:v>
      </x:c>
      <x:c r="F145" s="11" t="n">
        <x:v>1</x:v>
      </x:c>
      <x:c r="G145" s="12" t="n">
        <x:f>F145*SUMIFS(Settings!$C$14:$C$17,Settings!$A$14:$A$17,D145)</x:f>
        <x:v>1.5</x:v>
      </x:c>
      <x:c r="H145" s="2" t="str">
        <x:v>No</x:v>
      </x:c>
      <x:c r="I145" s="2" t="str">
        <x:v>Completed the fictional selection.</x:v>
      </x:c>
      <x:c r="J145" s="2" t="str">
        <x:v>Day 10!A11:H11</x:v>
      </x:c>
    </x:row>
    <x:row r="146" ht="23" customHeight="1">
      <x:c r="A146" s="7" t="n">
        <x:v>46213.5</x:v>
      </x:c>
      <x:c r="B146" s="2" t="str">
        <x:v>10:05 AM</x:v>
      </x:c>
      <x:c r="C146" s="2" t="str">
        <x:v>FAKE-10-003</x:v>
      </x:c>
      <x:c r="D146" s="2" t="str">
        <x:f>Settings!$A$14</x:f>
        <x:v>Core Package</x:v>
      </x:c>
      <x:c r="E146" s="2" t="str">
        <x:v>Completed</x:v>
      </x:c>
      <x:c r="F146" s="11" t="n">
        <x:v>1</x:v>
      </x:c>
      <x:c r="G146" s="12" t="n">
        <x:f>F146*SUMIFS(Settings!$C$14:$C$17,Settings!$A$14:$A$17,D146)</x:f>
        <x:v>1</x:v>
      </x:c>
      <x:c r="H146" s="2" t="str">
        <x:v>No</x:v>
      </x:c>
      <x:c r="I146" s="2" t="str">
        <x:v>Completed the fictional selection.</x:v>
      </x:c>
      <x:c r="J146" s="2" t="str">
        <x:v>Day 10!A12:H12</x:v>
      </x:c>
    </x:row>
    <x:row r="147" ht="23" customHeight="1">
      <x:c r="A147" s="7" t="n">
        <x:v>46213.5</x:v>
      </x:c>
      <x:c r="B147" s="2" t="str">
        <x:v>10:35 AM</x:v>
      </x:c>
      <x:c r="C147" s="2" t="str">
        <x:v>FAKE-10-004</x:v>
      </x:c>
      <x:c r="D147" s="2" t="str">
        <x:f>Settings!$A$17</x:f>
        <x:v>Optional Add-on</x:v>
      </x:c>
      <x:c r="E147" s="2" t="str">
        <x:v>Follow-up</x:v>
      </x:c>
      <x:c r="F147" s="11" t="n">
        <x:v>0</x:v>
      </x:c>
      <x:c r="G147" s="12" t="n">
        <x:f>F147*SUMIFS(Settings!$C$14:$C$17,Settings!$A$14:$A$17,D147)</x:f>
        <x:v>0</x:v>
      </x:c>
      <x:c r="H147" s="2" t="str">
        <x:v>Yes</x:v>
      </x:c>
      <x:c r="I147" s="2" t="str">
        <x:v>Follow-up requested for a later date.</x:v>
      </x:c>
      <x:c r="J147" s="2" t="str">
        <x:v>Day 10!A13:H13</x:v>
      </x:c>
    </x:row>
    <x:row r="148" ht="23" customHeight="1">
      <x:c r="A148" s="7" t="n">
        <x:v>46213.5</x:v>
      </x:c>
      <x:c r="B148" s="2" t="str">
        <x:v>11:05 AM</x:v>
      </x:c>
      <x:c r="C148" s="2" t="str">
        <x:v>FAKE-10-005</x:v>
      </x:c>
      <x:c r="D148" s="2" t="str">
        <x:f>Settings!$A$16</x:f>
        <x:v>Premium Package</x:v>
      </x:c>
      <x:c r="E148" s="2" t="str">
        <x:v>No sale</x:v>
      </x:c>
      <x:c r="F148" s="11" t="n">
        <x:v>0</x:v>
      </x:c>
      <x:c r="G148" s="12" t="n">
        <x:f>F148*SUMIFS(Settings!$C$14:$C$17,Settings!$A$14:$A$17,D148)</x:f>
        <x:v>0</x:v>
      </x:c>
      <x:c r="H148" s="2" t="str">
        <x:v>No</x:v>
      </x:c>
      <x:c r="I148" s="2" t="str">
        <x:v>No selection made; no follow-up needed.</x:v>
      </x:c>
      <x:c r="J148" s="2" t="str">
        <x:v>Day 10!A14:H14</x:v>
      </x:c>
    </x:row>
    <x:row r="149" ht="23" customHeight="1">
      <x:c r="A149" s="7" t="n">
        <x:v>46213.5</x:v>
      </x:c>
      <x:c r="B149" s="2" t="str">
        <x:v>11:35 AM</x:v>
      </x:c>
      <x:c r="C149" s="2" t="str">
        <x:v>FAKE-10-006</x:v>
      </x:c>
      <x:c r="D149" s="2" t="str">
        <x:f>Settings!$A$15</x:f>
        <x:v>Plus Package</x:v>
      </x:c>
      <x:c r="E149" s="2" t="str">
        <x:v>Completed</x:v>
      </x:c>
      <x:c r="F149" s="11" t="n">
        <x:v>2</x:v>
      </x:c>
      <x:c r="G149" s="12" t="n">
        <x:f>F149*SUMIFS(Settings!$C$14:$C$17,Settings!$A$14:$A$17,D149)</x:f>
        <x:v>3</x:v>
      </x:c>
      <x:c r="H149" s="2" t="str">
        <x:v>No</x:v>
      </x:c>
      <x:c r="I149" s="2" t="str">
        <x:v>Completed the fictional selection.</x:v>
      </x:c>
      <x:c r="J149" s="2" t="str">
        <x:v>Day 10!A15:H15</x:v>
      </x:c>
    </x:row>
    <x:row r="150" ht="23" customHeight="1">
      <x:c r="A150" s="7" t="n">
        <x:v>46213.5</x:v>
      </x:c>
      <x:c r="B150" s="2" t="str">
        <x:v>12:05 PM</x:v>
      </x:c>
      <x:c r="C150" s="2" t="str">
        <x:v>FAKE-10-007</x:v>
      </x:c>
      <x:c r="D150" s="2" t="str">
        <x:f>Settings!$A$14</x:f>
        <x:v>Core Package</x:v>
      </x:c>
      <x:c r="E150" s="2" t="str">
        <x:v>Completed</x:v>
      </x:c>
      <x:c r="F150" s="11" t="n">
        <x:v>1</x:v>
      </x:c>
      <x:c r="G150" s="12" t="n">
        <x:f>F150*SUMIFS(Settings!$C$14:$C$17,Settings!$A$14:$A$17,D150)</x:f>
        <x:v>1</x:v>
      </x:c>
      <x:c r="H150" s="2" t="str">
        <x:v>No</x:v>
      </x:c>
      <x:c r="I150" s="2" t="str">
        <x:v>Completed the fictional selection.</x:v>
      </x:c>
      <x:c r="J150" s="2" t="str">
        <x:v>Day 10!A16:H16</x:v>
      </x:c>
    </x:row>
    <x:row r="151" ht="23" customHeight="1">
      <x:c r="A151" s="7" t="n">
        <x:v>46213.5</x:v>
      </x:c>
      <x:c r="B151" s="2" t="str">
        <x:v>12:35 PM</x:v>
      </x:c>
      <x:c r="C151" s="2" t="str">
        <x:v>FAKE-10-008</x:v>
      </x:c>
      <x:c r="D151" s="2" t="str">
        <x:f>Settings!$A$17</x:f>
        <x:v>Optional Add-on</x:v>
      </x:c>
      <x:c r="E151" s="2" t="str">
        <x:v>Completed</x:v>
      </x:c>
      <x:c r="F151" s="11" t="n">
        <x:v>1</x:v>
      </x:c>
      <x:c r="G151" s="12" t="n">
        <x:f>F151*SUMIFS(Settings!$C$14:$C$17,Settings!$A$14:$A$17,D151)</x:f>
        <x:v>0.5</x:v>
      </x:c>
      <x:c r="H151" s="2" t="str">
        <x:v>No</x:v>
      </x:c>
      <x:c r="I151" s="2" t="str">
        <x:v>Completed the fictional selection.</x:v>
      </x:c>
      <x:c r="J151" s="2" t="str">
        <x:v>Day 10!A17:H17</x:v>
      </x:c>
    </x:row>
    <x:row r="152" ht="23" customHeight="1">
      <x:c r="A152" s="7" t="n">
        <x:v>46213.5</x:v>
      </x:c>
      <x:c r="B152" s="2" t="str">
        <x:v>1:05 PM</x:v>
      </x:c>
      <x:c r="C152" s="2" t="str">
        <x:v>FAKE-10-009</x:v>
      </x:c>
      <x:c r="D152" s="2" t="str">
        <x:f>Settings!$A$16</x:f>
        <x:v>Premium Package</x:v>
      </x:c>
      <x:c r="E152" s="2" t="str">
        <x:v>Follow-up</x:v>
      </x:c>
      <x:c r="F152" s="11" t="n">
        <x:v>0</x:v>
      </x:c>
      <x:c r="G152" s="12" t="n">
        <x:f>F152*SUMIFS(Settings!$C$14:$C$17,Settings!$A$14:$A$17,D152)</x:f>
        <x:v>0</x:v>
      </x:c>
      <x:c r="H152" s="2" t="str">
        <x:v>Yes</x:v>
      </x:c>
      <x:c r="I152" s="2" t="str">
        <x:v>Follow-up requested for a later date.</x:v>
      </x:c>
      <x:c r="J152" s="2" t="str">
        <x:v>Day 10!A18:H18</x:v>
      </x:c>
    </x:row>
    <x:row r="153" ht="23" customHeight="1">
      <x:c r="A153" s="7" t="n">
        <x:v>46213.5</x:v>
      </x:c>
      <x:c r="B153" s="2" t="str">
        <x:v>1:35 PM</x:v>
      </x:c>
      <x:c r="C153" s="2" t="str">
        <x:v>FAKE-10-010</x:v>
      </x:c>
      <x:c r="D153" s="2" t="str">
        <x:f>Settings!$A$15</x:f>
        <x:v>Plus Package</x:v>
      </x:c>
      <x:c r="E153" s="2" t="str">
        <x:v>No sale</x:v>
      </x:c>
      <x:c r="F153" s="11" t="n">
        <x:v>0</x:v>
      </x:c>
      <x:c r="G153" s="12" t="n">
        <x:f>F153*SUMIFS(Settings!$C$14:$C$17,Settings!$A$14:$A$17,D153)</x:f>
        <x:v>0</x:v>
      </x:c>
      <x:c r="H153" s="2" t="str">
        <x:v>No</x:v>
      </x:c>
      <x:c r="I153" s="2" t="str">
        <x:v>No selection made; no follow-up needed.</x:v>
      </x:c>
      <x:c r="J153" s="2" t="str">
        <x:v>Day 10!A19:H19</x:v>
      </x:c>
    </x:row>
    <x:row r="154" ht="23" customHeight="1">
      <x:c r="A154" s="7" t="n">
        <x:v>46213.5</x:v>
      </x:c>
      <x:c r="B154" s="2" t="str">
        <x:v>2:05 PM</x:v>
      </x:c>
      <x:c r="C154" s="2" t="str">
        <x:v>FAKE-10-011</x:v>
      </x:c>
      <x:c r="D154" s="2" t="str">
        <x:f>Settings!$A$14</x:f>
        <x:v>Core Package</x:v>
      </x:c>
      <x:c r="E154" s="2" t="str">
        <x:v>Completed</x:v>
      </x:c>
      <x:c r="F154" s="11" t="n">
        <x:v>2</x:v>
      </x:c>
      <x:c r="G154" s="12" t="n">
        <x:f>F154*SUMIFS(Settings!$C$14:$C$17,Settings!$A$14:$A$17,D154)</x:f>
        <x:v>2</x:v>
      </x:c>
      <x:c r="H154" s="2" t="str">
        <x:v>No</x:v>
      </x:c>
      <x:c r="I154" s="2" t="str">
        <x:v>Completed the fictional selection.</x:v>
      </x:c>
      <x:c r="J154" s="2" t="str">
        <x:v>Day 10!A20:H20</x:v>
      </x:c>
    </x:row>
    <x:row r="155" ht="23" customHeight="1">
      <x:c r="A155" s="7" t="n">
        <x:v>46213.5</x:v>
      </x:c>
      <x:c r="B155" s="2" t="str">
        <x:v>2:35 PM</x:v>
      </x:c>
      <x:c r="C155" s="2" t="str">
        <x:v>FAKE-10-012</x:v>
      </x:c>
      <x:c r="D155" s="2" t="str">
        <x:f>Settings!$A$17</x:f>
        <x:v>Optional Add-on</x:v>
      </x:c>
      <x:c r="E155" s="2" t="str">
        <x:v>Completed</x:v>
      </x:c>
      <x:c r="F155" s="11" t="n">
        <x:v>1</x:v>
      </x:c>
      <x:c r="G155" s="12" t="n">
        <x:f>F155*SUMIFS(Settings!$C$14:$C$17,Settings!$A$14:$A$17,D155)</x:f>
        <x:v>0.5</x:v>
      </x:c>
      <x:c r="H155" s="2" t="str">
        <x:v>No</x:v>
      </x:c>
      <x:c r="I155" s="2" t="str">
        <x:v>Completed the fictional selection.</x:v>
      </x:c>
      <x:c r="J155" s="2" t="str">
        <x:v>Day 10!A21:H21</x:v>
      </x:c>
    </x:row>
    <x:row r="156" ht="23" customHeight="1">
      <x:c r="A156" s="7" t="n">
        <x:v>46213.5</x:v>
      </x:c>
      <x:c r="B156" s="2" t="str">
        <x:v>3:05 PM</x:v>
      </x:c>
      <x:c r="C156" s="2" t="str">
        <x:v>FAKE-10-013</x:v>
      </x:c>
      <x:c r="D156" s="2" t="str">
        <x:f>Settings!$A$16</x:f>
        <x:v>Premium Package</x:v>
      </x:c>
      <x:c r="E156" s="2" t="str">
        <x:v>Completed</x:v>
      </x:c>
      <x:c r="F156" s="11" t="n">
        <x:v>1</x:v>
      </x:c>
      <x:c r="G156" s="12" t="n">
        <x:f>F156*SUMIFS(Settings!$C$14:$C$17,Settings!$A$14:$A$17,D156)</x:f>
        <x:v>2</x:v>
      </x:c>
      <x:c r="H156" s="2" t="str">
        <x:v>No</x:v>
      </x:c>
      <x:c r="I156" s="2" t="str">
        <x:v>Completed the fictional selection.</x:v>
      </x:c>
      <x:c r="J156" s="2" t="str">
        <x:v>Day 10!A22:H22</x:v>
      </x:c>
    </x:row>
    <x:row r="157" ht="23" customHeight="1">
      <x:c r="A157" s="7" t="n">
        <x:v>46214.5</x:v>
      </x:c>
      <x:c r="B157" s="2" t="str">
        <x:v>9:05 AM</x:v>
      </x:c>
      <x:c r="C157" s="2" t="str">
        <x:v>FAKE-11-001</x:v>
      </x:c>
      <x:c r="D157" s="2" t="str">
        <x:f>Settings!$A$17</x:f>
        <x:v>Optional Add-on</x:v>
      </x:c>
      <x:c r="E157" s="2" t="str">
        <x:v>Completed</x:v>
      </x:c>
      <x:c r="F157" s="11" t="n">
        <x:v>1</x:v>
      </x:c>
      <x:c r="G157" s="12" t="n">
        <x:f>F157*SUMIFS(Settings!$C$14:$C$17,Settings!$A$14:$A$17,D157)</x:f>
        <x:v>0.5</x:v>
      </x:c>
      <x:c r="H157" s="2" t="str">
        <x:v>No</x:v>
      </x:c>
      <x:c r="I157" s="2" t="str">
        <x:v>Completed the fictional selection.</x:v>
      </x:c>
      <x:c r="J157" s="2" t="str">
        <x:v>Day 11!A10:H10</x:v>
      </x:c>
    </x:row>
    <x:row r="158" ht="23" customHeight="1">
      <x:c r="A158" s="7" t="n">
        <x:v>46214.5</x:v>
      </x:c>
      <x:c r="B158" s="2" t="str">
        <x:v>9:35 AM</x:v>
      </x:c>
      <x:c r="C158" s="2" t="str">
        <x:v>FAKE-11-002</x:v>
      </x:c>
      <x:c r="D158" s="2" t="str">
        <x:f>Settings!$A$16</x:f>
        <x:v>Premium Package</x:v>
      </x:c>
      <x:c r="E158" s="2" t="str">
        <x:v>Completed</x:v>
      </x:c>
      <x:c r="F158" s="11" t="n">
        <x:v>1</x:v>
      </x:c>
      <x:c r="G158" s="12" t="n">
        <x:f>F158*SUMIFS(Settings!$C$14:$C$17,Settings!$A$14:$A$17,D158)</x:f>
        <x:v>2</x:v>
      </x:c>
      <x:c r="H158" s="2" t="str">
        <x:v>No</x:v>
      </x:c>
      <x:c r="I158" s="2" t="str">
        <x:v>Completed the fictional selection.</x:v>
      </x:c>
      <x:c r="J158" s="2" t="str">
        <x:v>Day 11!A11:H11</x:v>
      </x:c>
    </x:row>
    <x:row r="159" ht="23" customHeight="1">
      <x:c r="A159" s="7" t="n">
        <x:v>46214.5</x:v>
      </x:c>
      <x:c r="B159" s="2" t="str">
        <x:v>10:05 AM</x:v>
      </x:c>
      <x:c r="C159" s="2" t="str">
        <x:v>FAKE-11-003</x:v>
      </x:c>
      <x:c r="D159" s="2" t="str">
        <x:f>Settings!$A$15</x:f>
        <x:v>Plus Package</x:v>
      </x:c>
      <x:c r="E159" s="2" t="str">
        <x:v>Follow-up</x:v>
      </x:c>
      <x:c r="F159" s="11" t="n">
        <x:v>0</x:v>
      </x:c>
      <x:c r="G159" s="12" t="n">
        <x:f>F159*SUMIFS(Settings!$C$14:$C$17,Settings!$A$14:$A$17,D159)</x:f>
        <x:v>0</x:v>
      </x:c>
      <x:c r="H159" s="2" t="str">
        <x:v>Yes</x:v>
      </x:c>
      <x:c r="I159" s="2" t="str">
        <x:v>Follow-up requested for a later date.</x:v>
      </x:c>
      <x:c r="J159" s="2" t="str">
        <x:v>Day 11!A12:H12</x:v>
      </x:c>
    </x:row>
    <x:row r="160" ht="23" customHeight="1">
      <x:c r="A160" s="7" t="n">
        <x:v>46214.5</x:v>
      </x:c>
      <x:c r="B160" s="2" t="str">
        <x:v>10:35 AM</x:v>
      </x:c>
      <x:c r="C160" s="2" t="str">
        <x:v>FAKE-11-004</x:v>
      </x:c>
      <x:c r="D160" s="2" t="str">
        <x:f>Settings!$A$14</x:f>
        <x:v>Core Package</x:v>
      </x:c>
      <x:c r="E160" s="2" t="str">
        <x:v>No sale</x:v>
      </x:c>
      <x:c r="F160" s="11" t="n">
        <x:v>0</x:v>
      </x:c>
      <x:c r="G160" s="12" t="n">
        <x:f>F160*SUMIFS(Settings!$C$14:$C$17,Settings!$A$14:$A$17,D160)</x:f>
        <x:v>0</x:v>
      </x:c>
      <x:c r="H160" s="2" t="str">
        <x:v>No</x:v>
      </x:c>
      <x:c r="I160" s="2" t="str">
        <x:v>No selection made; no follow-up needed.</x:v>
      </x:c>
      <x:c r="J160" s="2" t="str">
        <x:v>Day 11!A13:H13</x:v>
      </x:c>
    </x:row>
    <x:row r="161" ht="23" customHeight="1">
      <x:c r="A161" s="7" t="n">
        <x:v>46214.5</x:v>
      </x:c>
      <x:c r="B161" s="2" t="str">
        <x:v>11:05 AM</x:v>
      </x:c>
      <x:c r="C161" s="2" t="str">
        <x:v>FAKE-11-005</x:v>
      </x:c>
      <x:c r="D161" s="2" t="str">
        <x:f>Settings!$A$17</x:f>
        <x:v>Optional Add-on</x:v>
      </x:c>
      <x:c r="E161" s="2" t="str">
        <x:v>Completed</x:v>
      </x:c>
      <x:c r="F161" s="11" t="n">
        <x:v>1</x:v>
      </x:c>
      <x:c r="G161" s="12" t="n">
        <x:f>F161*SUMIFS(Settings!$C$14:$C$17,Settings!$A$14:$A$17,D161)</x:f>
        <x:v>0.5</x:v>
      </x:c>
      <x:c r="H161" s="2" t="str">
        <x:v>No</x:v>
      </x:c>
      <x:c r="I161" s="2" t="str">
        <x:v>Completed the fictional selection.</x:v>
      </x:c>
      <x:c r="J161" s="2" t="str">
        <x:v>Day 11!A14:H14</x:v>
      </x:c>
    </x:row>
    <x:row r="162" ht="23" customHeight="1">
      <x:c r="A162" s="7" t="n">
        <x:v>46214.5</x:v>
      </x:c>
      <x:c r="B162" s="2" t="str">
        <x:v>11:35 AM</x:v>
      </x:c>
      <x:c r="C162" s="2" t="str">
        <x:v>FAKE-11-006</x:v>
      </x:c>
      <x:c r="D162" s="2" t="str">
        <x:f>Settings!$A$16</x:f>
        <x:v>Premium Package</x:v>
      </x:c>
      <x:c r="E162" s="2" t="str">
        <x:v>Completed</x:v>
      </x:c>
      <x:c r="F162" s="11" t="n">
        <x:v>1</x:v>
      </x:c>
      <x:c r="G162" s="12" t="n">
        <x:f>F162*SUMIFS(Settings!$C$14:$C$17,Settings!$A$14:$A$17,D162)</x:f>
        <x:v>2</x:v>
      </x:c>
      <x:c r="H162" s="2" t="str">
        <x:v>No</x:v>
      </x:c>
      <x:c r="I162" s="2" t="str">
        <x:v>Completed the fictional selection.</x:v>
      </x:c>
      <x:c r="J162" s="2" t="str">
        <x:v>Day 11!A15:H15</x:v>
      </x:c>
    </x:row>
    <x:row r="163" ht="23" customHeight="1">
      <x:c r="A163" s="7" t="n">
        <x:v>46214.5</x:v>
      </x:c>
      <x:c r="B163" s="2" t="str">
        <x:v>12:05 PM</x:v>
      </x:c>
      <x:c r="C163" s="2" t="str">
        <x:v>FAKE-11-007</x:v>
      </x:c>
      <x:c r="D163" s="2" t="str">
        <x:f>Settings!$A$15</x:f>
        <x:v>Plus Package</x:v>
      </x:c>
      <x:c r="E163" s="2" t="str">
        <x:v>Completed</x:v>
      </x:c>
      <x:c r="F163" s="11" t="n">
        <x:v>1</x:v>
      </x:c>
      <x:c r="G163" s="12" t="n">
        <x:f>F163*SUMIFS(Settings!$C$14:$C$17,Settings!$A$14:$A$17,D163)</x:f>
        <x:v>1.5</x:v>
      </x:c>
      <x:c r="H163" s="2" t="str">
        <x:v>No</x:v>
      </x:c>
      <x:c r="I163" s="2" t="str">
        <x:v>Completed the fictional selection.</x:v>
      </x:c>
      <x:c r="J163" s="2" t="str">
        <x:v>Day 11!A16:H16</x:v>
      </x:c>
    </x:row>
    <x:row r="164" ht="23" customHeight="1">
      <x:c r="A164" s="7" t="n">
        <x:v>46214.5</x:v>
      </x:c>
      <x:c r="B164" s="2" t="str">
        <x:v>12:35 PM</x:v>
      </x:c>
      <x:c r="C164" s="2" t="str">
        <x:v>FAKE-11-008</x:v>
      </x:c>
      <x:c r="D164" s="2" t="str">
        <x:f>Settings!$A$14</x:f>
        <x:v>Core Package</x:v>
      </x:c>
      <x:c r="E164" s="2" t="str">
        <x:v>Follow-up</x:v>
      </x:c>
      <x:c r="F164" s="11" t="n">
        <x:v>0</x:v>
      </x:c>
      <x:c r="G164" s="12" t="n">
        <x:f>F164*SUMIFS(Settings!$C$14:$C$17,Settings!$A$14:$A$17,D164)</x:f>
        <x:v>0</x:v>
      </x:c>
      <x:c r="H164" s="2" t="str">
        <x:v>Yes</x:v>
      </x:c>
      <x:c r="I164" s="2" t="str">
        <x:v>Follow-up requested for a later date.</x:v>
      </x:c>
      <x:c r="J164" s="2" t="str">
        <x:v>Day 11!A17:H17</x:v>
      </x:c>
    </x:row>
    <x:row r="165" ht="23" customHeight="1">
      <x:c r="A165" s="7" t="n">
        <x:v>46214.5</x:v>
      </x:c>
      <x:c r="B165" s="2" t="str">
        <x:v>1:05 PM</x:v>
      </x:c>
      <x:c r="C165" s="2" t="str">
        <x:v>FAKE-11-009</x:v>
      </x:c>
      <x:c r="D165" s="2" t="str">
        <x:f>Settings!$A$17</x:f>
        <x:v>Optional Add-on</x:v>
      </x:c>
      <x:c r="E165" s="2" t="str">
        <x:v>No sale</x:v>
      </x:c>
      <x:c r="F165" s="11" t="n">
        <x:v>0</x:v>
      </x:c>
      <x:c r="G165" s="12" t="n">
        <x:f>F165*SUMIFS(Settings!$C$14:$C$17,Settings!$A$14:$A$17,D165)</x:f>
        <x:v>0</x:v>
      </x:c>
      <x:c r="H165" s="2" t="str">
        <x:v>No</x:v>
      </x:c>
      <x:c r="I165" s="2" t="str">
        <x:v>No selection made; no follow-up needed.</x:v>
      </x:c>
      <x:c r="J165" s="2" t="str">
        <x:v>Day 11!A18:H18</x:v>
      </x:c>
    </x:row>
    <x:row r="166" ht="23" customHeight="1">
      <x:c r="A166" s="7" t="n">
        <x:v>46214.5</x:v>
      </x:c>
      <x:c r="B166" s="2" t="str">
        <x:v>1:35 PM</x:v>
      </x:c>
      <x:c r="C166" s="2" t="str">
        <x:v>FAKE-11-010</x:v>
      </x:c>
      <x:c r="D166" s="2" t="str">
        <x:f>Settings!$A$16</x:f>
        <x:v>Premium Package</x:v>
      </x:c>
      <x:c r="E166" s="2" t="str">
        <x:v>Completed</x:v>
      </x:c>
      <x:c r="F166" s="11" t="n">
        <x:v>1</x:v>
      </x:c>
      <x:c r="G166" s="12" t="n">
        <x:f>F166*SUMIFS(Settings!$C$14:$C$17,Settings!$A$14:$A$17,D166)</x:f>
        <x:v>2</x:v>
      </x:c>
      <x:c r="H166" s="2" t="str">
        <x:v>No</x:v>
      </x:c>
      <x:c r="I166" s="2" t="str">
        <x:v>Completed the fictional selection.</x:v>
      </x:c>
      <x:c r="J166" s="2" t="str">
        <x:v>Day 11!A19:H19</x:v>
      </x:c>
    </x:row>
    <x:row r="167" ht="23" customHeight="1">
      <x:c r="A167" s="7" t="n">
        <x:v>46214.5</x:v>
      </x:c>
      <x:c r="B167" s="2" t="str">
        <x:v>2:05 PM</x:v>
      </x:c>
      <x:c r="C167" s="2" t="str">
        <x:v>FAKE-11-011</x:v>
      </x:c>
      <x:c r="D167" s="2" t="str">
        <x:f>Settings!$A$15</x:f>
        <x:v>Plus Package</x:v>
      </x:c>
      <x:c r="E167" s="2" t="str">
        <x:v>Completed</x:v>
      </x:c>
      <x:c r="F167" s="11" t="n">
        <x:v>1</x:v>
      </x:c>
      <x:c r="G167" s="12" t="n">
        <x:f>F167*SUMIFS(Settings!$C$14:$C$17,Settings!$A$14:$A$17,D167)</x:f>
        <x:v>1.5</x:v>
      </x:c>
      <x:c r="H167" s="2" t="str">
        <x:v>No</x:v>
      </x:c>
      <x:c r="I167" s="2" t="str">
        <x:v>Completed the fictional selection.</x:v>
      </x:c>
      <x:c r="J167" s="2" t="str">
        <x:v>Day 11!A20:H20</x:v>
      </x:c>
    </x:row>
    <x:row r="168" ht="23" customHeight="1">
      <x:c r="A168" s="7" t="n">
        <x:v>46214.5</x:v>
      </x:c>
      <x:c r="B168" s="2" t="str">
        <x:v>2:35 PM</x:v>
      </x:c>
      <x:c r="C168" s="2" t="str">
        <x:v>FAKE-11-012</x:v>
      </x:c>
      <x:c r="D168" s="2" t="str">
        <x:f>Settings!$A$14</x:f>
        <x:v>Core Package</x:v>
      </x:c>
      <x:c r="E168" s="2" t="str">
        <x:v>Completed</x:v>
      </x:c>
      <x:c r="F168" s="11" t="n">
        <x:v>1</x:v>
      </x:c>
      <x:c r="G168" s="12" t="n">
        <x:f>F168*SUMIFS(Settings!$C$14:$C$17,Settings!$A$14:$A$17,D168)</x:f>
        <x:v>1</x:v>
      </x:c>
      <x:c r="H168" s="2" t="str">
        <x:v>No</x:v>
      </x:c>
      <x:c r="I168" s="2" t="str">
        <x:v>Completed the fictional selection.</x:v>
      </x:c>
      <x:c r="J168" s="2" t="str">
        <x:v>Day 11!A21:H21</x:v>
      </x:c>
    </x:row>
    <x:row r="169" ht="23" customHeight="1">
      <x:c r="A169" s="7" t="n">
        <x:v>46214.5</x:v>
      </x:c>
      <x:c r="B169" s="2" t="str">
        <x:v>3:05 PM</x:v>
      </x:c>
      <x:c r="C169" s="2" t="str">
        <x:v>FAKE-11-013</x:v>
      </x:c>
      <x:c r="D169" s="2" t="str">
        <x:f>Settings!$A$17</x:f>
        <x:v>Optional Add-on</x:v>
      </x:c>
      <x:c r="E169" s="2" t="str">
        <x:v>Follow-up</x:v>
      </x:c>
      <x:c r="F169" s="11" t="n">
        <x:v>0</x:v>
      </x:c>
      <x:c r="G169" s="12" t="n">
        <x:f>F169*SUMIFS(Settings!$C$14:$C$17,Settings!$A$14:$A$17,D169)</x:f>
        <x:v>0</x:v>
      </x:c>
      <x:c r="H169" s="2" t="str">
        <x:v>Yes</x:v>
      </x:c>
      <x:c r="I169" s="2" t="str">
        <x:v>Follow-up requested for a later date.</x:v>
      </x:c>
      <x:c r="J169" s="2" t="str">
        <x:v>Day 11!A22:H22</x:v>
      </x:c>
    </x:row>
    <x:row r="170" ht="23" customHeight="1">
      <x:c r="A170" s="7" t="n">
        <x:v>46214.5</x:v>
      </x:c>
      <x:c r="B170" s="2" t="str">
        <x:v>3:35 PM</x:v>
      </x:c>
      <x:c r="C170" s="2" t="str">
        <x:v>FAKE-11-014</x:v>
      </x:c>
      <x:c r="D170" s="2" t="str">
        <x:f>Settings!$A$16</x:f>
        <x:v>Premium Package</x:v>
      </x:c>
      <x:c r="E170" s="2" t="str">
        <x:v>No sale</x:v>
      </x:c>
      <x:c r="F170" s="11" t="n">
        <x:v>0</x:v>
      </x:c>
      <x:c r="G170" s="12" t="n">
        <x:f>F170*SUMIFS(Settings!$C$14:$C$17,Settings!$A$14:$A$17,D170)</x:f>
        <x:v>0</x:v>
      </x:c>
      <x:c r="H170" s="2" t="str">
        <x:v>No</x:v>
      </x:c>
      <x:c r="I170" s="2" t="str">
        <x:v>No selection made; no follow-up needed.</x:v>
      </x:c>
      <x:c r="J170" s="2" t="str">
        <x:v>Day 11!A23:H23</x:v>
      </x:c>
    </x:row>
    <x:row r="171" ht="23" customHeight="1">
      <x:c r="A171" s="7" t="n">
        <x:v>46214.5</x:v>
      </x:c>
      <x:c r="B171" s="2" t="str">
        <x:v>4:05 PM</x:v>
      </x:c>
      <x:c r="C171" s="2" t="str">
        <x:v>FAKE-11-015</x:v>
      </x:c>
      <x:c r="D171" s="2" t="str">
        <x:f>Settings!$A$15</x:f>
        <x:v>Plus Package</x:v>
      </x:c>
      <x:c r="E171" s="2" t="str">
        <x:v>Completed</x:v>
      </x:c>
      <x:c r="F171" s="11" t="n">
        <x:v>1</x:v>
      </x:c>
      <x:c r="G171" s="12" t="n">
        <x:f>F171*SUMIFS(Settings!$C$14:$C$17,Settings!$A$14:$A$17,D171)</x:f>
        <x:v>1.5</x:v>
      </x:c>
      <x:c r="H171" s="2" t="str">
        <x:v>No</x:v>
      </x:c>
      <x:c r="I171" s="2" t="str">
        <x:v>Completed the fictional selection.</x:v>
      </x:c>
      <x:c r="J171" s="2" t="str">
        <x:v>Day 11!A24:H24</x:v>
      </x:c>
    </x:row>
    <x:row r="172" ht="23" customHeight="1">
      <x:c r="A172" s="7" t="n">
        <x:v>46214.5</x:v>
      </x:c>
      <x:c r="B172" s="2" t="str">
        <x:v>4:35 PM</x:v>
      </x:c>
      <x:c r="C172" s="2" t="str">
        <x:v>FAKE-11-016</x:v>
      </x:c>
      <x:c r="D172" s="2" t="str">
        <x:f>Settings!$A$14</x:f>
        <x:v>Core Package</x:v>
      </x:c>
      <x:c r="E172" s="2" t="str">
        <x:v>Completed</x:v>
      </x:c>
      <x:c r="F172" s="11" t="n">
        <x:v>1</x:v>
      </x:c>
      <x:c r="G172" s="12" t="n">
        <x:f>F172*SUMIFS(Settings!$C$14:$C$17,Settings!$A$14:$A$17,D172)</x:f>
        <x:v>1</x:v>
      </x:c>
      <x:c r="H172" s="2" t="str">
        <x:v>No</x:v>
      </x:c>
      <x:c r="I172" s="2" t="str">
        <x:v>Completed the fictional selection.</x:v>
      </x:c>
      <x:c r="J172" s="2" t="str">
        <x:v>Day 11!A25:H25</x:v>
      </x:c>
    </x:row>
    <x:row r="173" ht="23" customHeight="1">
      <x:c r="A173" s="7" t="n">
        <x:v>46214.5</x:v>
      </x:c>
      <x:c r="B173" s="2" t="str">
        <x:v>5:05 PM</x:v>
      </x:c>
      <x:c r="C173" s="2" t="str">
        <x:v>FAKE-11-017</x:v>
      </x:c>
      <x:c r="D173" s="2" t="str">
        <x:f>Settings!$A$17</x:f>
        <x:v>Optional Add-on</x:v>
      </x:c>
      <x:c r="E173" s="2" t="str">
        <x:v>Completed</x:v>
      </x:c>
      <x:c r="F173" s="11" t="n">
        <x:v>1</x:v>
      </x:c>
      <x:c r="G173" s="12" t="n">
        <x:f>F173*SUMIFS(Settings!$C$14:$C$17,Settings!$A$14:$A$17,D173)</x:f>
        <x:v>0.5</x:v>
      </x:c>
      <x:c r="H173" s="2" t="str">
        <x:v>No</x:v>
      </x:c>
      <x:c r="I173" s="2" t="str">
        <x:v>Completed the fictional selection.</x:v>
      </x:c>
      <x:c r="J173" s="2" t="str">
        <x:v>Day 11!A26:H26</x:v>
      </x:c>
    </x:row>
    <x:row r="174" ht="23" customHeight="1">
      <x:c r="A174" s="7" t="n">
        <x:v>46214.5</x:v>
      </x:c>
      <x:c r="B174" s="2" t="str">
        <x:v>5:35 PM</x:v>
      </x:c>
      <x:c r="C174" s="2" t="str">
        <x:v>FAKE-11-018</x:v>
      </x:c>
      <x:c r="D174" s="2" t="str">
        <x:f>Settings!$A$16</x:f>
        <x:v>Premium Package</x:v>
      </x:c>
      <x:c r="E174" s="2" t="str">
        <x:v>Follow-up</x:v>
      </x:c>
      <x:c r="F174" s="11" t="n">
        <x:v>0</x:v>
      </x:c>
      <x:c r="G174" s="12" t="n">
        <x:f>F174*SUMIFS(Settings!$C$14:$C$17,Settings!$A$14:$A$17,D174)</x:f>
        <x:v>0</x:v>
      </x:c>
      <x:c r="H174" s="2" t="str">
        <x:v>Yes</x:v>
      </x:c>
      <x:c r="I174" s="2" t="str">
        <x:v>Follow-up requested for a later date.</x:v>
      </x:c>
      <x:c r="J174" s="2" t="str">
        <x:v>Day 11!A27:H27</x:v>
      </x:c>
    </x:row>
    <x:row r="175" ht="23" customHeight="1">
      <x:c r="A175" s="7" t="n">
        <x:v>46215.5</x:v>
      </x:c>
      <x:c r="B175" s="2" t="str">
        <x:v>9:05 AM</x:v>
      </x:c>
      <x:c r="C175" s="2" t="str">
        <x:v>FAKE-12-001</x:v>
      </x:c>
      <x:c r="D175" s="2" t="str">
        <x:f>Settings!$A$14</x:f>
        <x:v>Core Package</x:v>
      </x:c>
      <x:c r="E175" s="2" t="str">
        <x:v>Follow-up</x:v>
      </x:c>
      <x:c r="F175" s="11" t="n">
        <x:v>0</x:v>
      </x:c>
      <x:c r="G175" s="12" t="n">
        <x:f>F175*SUMIFS(Settings!$C$14:$C$17,Settings!$A$14:$A$17,D175)</x:f>
        <x:v>0</x:v>
      </x:c>
      <x:c r="H175" s="2" t="str">
        <x:v>Yes</x:v>
      </x:c>
      <x:c r="I175" s="2" t="str">
        <x:v>Follow-up requested for a later date.</x:v>
      </x:c>
      <x:c r="J175" s="2" t="str">
        <x:v>Day 12!A10:H10</x:v>
      </x:c>
    </x:row>
    <x:row r="176" ht="23" customHeight="1">
      <x:c r="A176" s="7" t="n">
        <x:v>46215.5</x:v>
      </x:c>
      <x:c r="B176" s="2" t="str">
        <x:v>9:35 AM</x:v>
      </x:c>
      <x:c r="C176" s="2" t="str">
        <x:v>FAKE-12-002</x:v>
      </x:c>
      <x:c r="D176" s="2" t="str">
        <x:f>Settings!$A$17</x:f>
        <x:v>Optional Add-on</x:v>
      </x:c>
      <x:c r="E176" s="2" t="str">
        <x:v>No sale</x:v>
      </x:c>
      <x:c r="F176" s="11" t="n">
        <x:v>0</x:v>
      </x:c>
      <x:c r="G176" s="12" t="n">
        <x:f>F176*SUMIFS(Settings!$C$14:$C$17,Settings!$A$14:$A$17,D176)</x:f>
        <x:v>0</x:v>
      </x:c>
      <x:c r="H176" s="2" t="str">
        <x:v>No</x:v>
      </x:c>
      <x:c r="I176" s="2" t="str">
        <x:v>No selection made; no follow-up needed.</x:v>
      </x:c>
      <x:c r="J176" s="2" t="str">
        <x:v>Day 12!A11:H11</x:v>
      </x:c>
    </x:row>
    <x:row r="177" ht="23" customHeight="1">
      <x:c r="A177" s="7" t="n">
        <x:v>46215.5</x:v>
      </x:c>
      <x:c r="B177" s="2" t="str">
        <x:v>10:05 AM</x:v>
      </x:c>
      <x:c r="C177" s="2" t="str">
        <x:v>FAKE-12-003</x:v>
      </x:c>
      <x:c r="D177" s="2" t="str">
        <x:f>Settings!$A$16</x:f>
        <x:v>Premium Package</x:v>
      </x:c>
      <x:c r="E177" s="2" t="str">
        <x:v>Completed</x:v>
      </x:c>
      <x:c r="F177" s="11" t="n">
        <x:v>2</x:v>
      </x:c>
      <x:c r="G177" s="12" t="n">
        <x:f>F177*SUMIFS(Settings!$C$14:$C$17,Settings!$A$14:$A$17,D177)</x:f>
        <x:v>4</x:v>
      </x:c>
      <x:c r="H177" s="2" t="str">
        <x:v>No</x:v>
      </x:c>
      <x:c r="I177" s="2" t="str">
        <x:v>Completed the fictional selection.</x:v>
      </x:c>
      <x:c r="J177" s="2" t="str">
        <x:v>Day 12!A12:H12</x:v>
      </x:c>
    </x:row>
    <x:row r="178" ht="23" customHeight="1">
      <x:c r="A178" s="7" t="n">
        <x:v>46215.5</x:v>
      </x:c>
      <x:c r="B178" s="2" t="str">
        <x:v>10:35 AM</x:v>
      </x:c>
      <x:c r="C178" s="2" t="str">
        <x:v>FAKE-12-004</x:v>
      </x:c>
      <x:c r="D178" s="2" t="str">
        <x:f>Settings!$A$15</x:f>
        <x:v>Plus Package</x:v>
      </x:c>
      <x:c r="E178" s="2" t="str">
        <x:v>Completed</x:v>
      </x:c>
      <x:c r="F178" s="11" t="n">
        <x:v>1</x:v>
      </x:c>
      <x:c r="G178" s="12" t="n">
        <x:f>F178*SUMIFS(Settings!$C$14:$C$17,Settings!$A$14:$A$17,D178)</x:f>
        <x:v>1.5</x:v>
      </x:c>
      <x:c r="H178" s="2" t="str">
        <x:v>No</x:v>
      </x:c>
      <x:c r="I178" s="2" t="str">
        <x:v>Completed the fictional selection.</x:v>
      </x:c>
      <x:c r="J178" s="2" t="str">
        <x:v>Day 12!A13:H13</x:v>
      </x:c>
    </x:row>
    <x:row r="179" ht="23" customHeight="1">
      <x:c r="A179" s="7" t="n">
        <x:v>46215.5</x:v>
      </x:c>
      <x:c r="B179" s="2" t="str">
        <x:v>11:05 AM</x:v>
      </x:c>
      <x:c r="C179" s="2" t="str">
        <x:v>FAKE-12-005</x:v>
      </x:c>
      <x:c r="D179" s="2" t="str">
        <x:f>Settings!$A$14</x:f>
        <x:v>Core Package</x:v>
      </x:c>
      <x:c r="E179" s="2" t="str">
        <x:v>Completed</x:v>
      </x:c>
      <x:c r="F179" s="11" t="n">
        <x:v>1</x:v>
      </x:c>
      <x:c r="G179" s="12" t="n">
        <x:f>F179*SUMIFS(Settings!$C$14:$C$17,Settings!$A$14:$A$17,D179)</x:f>
        <x:v>1</x:v>
      </x:c>
      <x:c r="H179" s="2" t="str">
        <x:v>No</x:v>
      </x:c>
      <x:c r="I179" s="2" t="str">
        <x:v>Completed the fictional selection.</x:v>
      </x:c>
      <x:c r="J179" s="2" t="str">
        <x:v>Day 12!A14:H14</x:v>
      </x:c>
    </x:row>
    <x:row r="180" ht="23" customHeight="1">
      <x:c r="A180" s="7" t="n">
        <x:v>46215.5</x:v>
      </x:c>
      <x:c r="B180" s="2" t="str">
        <x:v>11:35 AM</x:v>
      </x:c>
      <x:c r="C180" s="2" t="str">
        <x:v>FAKE-12-006</x:v>
      </x:c>
      <x:c r="D180" s="2" t="str">
        <x:f>Settings!$A$17</x:f>
        <x:v>Optional Add-on</x:v>
      </x:c>
      <x:c r="E180" s="2" t="str">
        <x:v>Follow-up</x:v>
      </x:c>
      <x:c r="F180" s="11" t="n">
        <x:v>0</x:v>
      </x:c>
      <x:c r="G180" s="12" t="n">
        <x:f>F180*SUMIFS(Settings!$C$14:$C$17,Settings!$A$14:$A$17,D180)</x:f>
        <x:v>0</x:v>
      </x:c>
      <x:c r="H180" s="2" t="str">
        <x:v>Yes</x:v>
      </x:c>
      <x:c r="I180" s="2" t="str">
        <x:v>Follow-up requested for a later date.</x:v>
      </x:c>
      <x:c r="J180" s="2" t="str">
        <x:v>Day 12!A15:H15</x:v>
      </x:c>
    </x:row>
    <x:row r="181" ht="23" customHeight="1">
      <x:c r="A181" s="7" t="n">
        <x:v>46215.5</x:v>
      </x:c>
      <x:c r="B181" s="2" t="str">
        <x:v>12:05 PM</x:v>
      </x:c>
      <x:c r="C181" s="2" t="str">
        <x:v>FAKE-12-007</x:v>
      </x:c>
      <x:c r="D181" s="2" t="str">
        <x:f>Settings!$A$16</x:f>
        <x:v>Premium Package</x:v>
      </x:c>
      <x:c r="E181" s="2" t="str">
        <x:v>No sale</x:v>
      </x:c>
      <x:c r="F181" s="11" t="n">
        <x:v>0</x:v>
      </x:c>
      <x:c r="G181" s="12" t="n">
        <x:f>F181*SUMIFS(Settings!$C$14:$C$17,Settings!$A$14:$A$17,D181)</x:f>
        <x:v>0</x:v>
      </x:c>
      <x:c r="H181" s="2" t="str">
        <x:v>No</x:v>
      </x:c>
      <x:c r="I181" s="2" t="str">
        <x:v>No selection made; no follow-up needed.</x:v>
      </x:c>
      <x:c r="J181" s="2" t="str">
        <x:v>Day 12!A16:H16</x:v>
      </x:c>
    </x:row>
    <x:row r="182" ht="23" customHeight="1">
      <x:c r="A182" s="7" t="n">
        <x:v>46215.5</x:v>
      </x:c>
      <x:c r="B182" s="2" t="str">
        <x:v>12:35 PM</x:v>
      </x:c>
      <x:c r="C182" s="2" t="str">
        <x:v>FAKE-12-008</x:v>
      </x:c>
      <x:c r="D182" s="2" t="str">
        <x:f>Settings!$A$15</x:f>
        <x:v>Plus Package</x:v>
      </x:c>
      <x:c r="E182" s="2" t="str">
        <x:v>Completed</x:v>
      </x:c>
      <x:c r="F182" s="11" t="n">
        <x:v>2</x:v>
      </x:c>
      <x:c r="G182" s="12" t="n">
        <x:f>F182*SUMIFS(Settings!$C$14:$C$17,Settings!$A$14:$A$17,D182)</x:f>
        <x:v>3</x:v>
      </x:c>
      <x:c r="H182" s="2" t="str">
        <x:v>No</x:v>
      </x:c>
      <x:c r="I182" s="2" t="str">
        <x:v>Completed the fictional selection.</x:v>
      </x:c>
      <x:c r="J182" s="2" t="str">
        <x:v>Day 12!A17:H17</x:v>
      </x:c>
    </x:row>
    <x:row r="183" ht="23" customHeight="1">
      <x:c r="A183" s="7" t="n">
        <x:v>46215.5</x:v>
      </x:c>
      <x:c r="B183" s="2" t="str">
        <x:v>1:05 PM</x:v>
      </x:c>
      <x:c r="C183" s="2" t="str">
        <x:v>FAKE-12-009</x:v>
      </x:c>
      <x:c r="D183" s="2" t="str">
        <x:f>Settings!$A$14</x:f>
        <x:v>Core Package</x:v>
      </x:c>
      <x:c r="E183" s="2" t="str">
        <x:v>Completed</x:v>
      </x:c>
      <x:c r="F183" s="11" t="n">
        <x:v>1</x:v>
      </x:c>
      <x:c r="G183" s="12" t="n">
        <x:f>F183*SUMIFS(Settings!$C$14:$C$17,Settings!$A$14:$A$17,D183)</x:f>
        <x:v>1</x:v>
      </x:c>
      <x:c r="H183" s="2" t="str">
        <x:v>No</x:v>
      </x:c>
      <x:c r="I183" s="2" t="str">
        <x:v>Completed the fictional selection.</x:v>
      </x:c>
      <x:c r="J183" s="2" t="str">
        <x:v>Day 12!A18:H18</x:v>
      </x:c>
    </x:row>
    <x:row r="184" ht="23" customHeight="1">
      <x:c r="A184" s="7" t="n">
        <x:v>46215.5</x:v>
      </x:c>
      <x:c r="B184" s="2" t="str">
        <x:v>1:35 PM</x:v>
      </x:c>
      <x:c r="C184" s="2" t="str">
        <x:v>FAKE-12-010</x:v>
      </x:c>
      <x:c r="D184" s="2" t="str">
        <x:f>Settings!$A$17</x:f>
        <x:v>Optional Add-on</x:v>
      </x:c>
      <x:c r="E184" s="2" t="str">
        <x:v>Completed</x:v>
      </x:c>
      <x:c r="F184" s="11" t="n">
        <x:v>1</x:v>
      </x:c>
      <x:c r="G184" s="12" t="n">
        <x:f>F184*SUMIFS(Settings!$C$14:$C$17,Settings!$A$14:$A$17,D184)</x:f>
        <x:v>0.5</x:v>
      </x:c>
      <x:c r="H184" s="2" t="str">
        <x:v>No</x:v>
      </x:c>
      <x:c r="I184" s="2" t="str">
        <x:v>Completed the fictional selection.</x:v>
      </x:c>
      <x:c r="J184" s="2" t="str">
        <x:v>Day 12!A19:H19</x:v>
      </x:c>
    </x:row>
    <x:row r="185" ht="23" customHeight="1">
      <x:c r="A185" s="7" t="n">
        <x:v>46215.5</x:v>
      </x:c>
      <x:c r="B185" s="2" t="str">
        <x:v>2:05 PM</x:v>
      </x:c>
      <x:c r="C185" s="2" t="str">
        <x:v>FAKE-12-011</x:v>
      </x:c>
      <x:c r="D185" s="2" t="str">
        <x:f>Settings!$A$16</x:f>
        <x:v>Premium Package</x:v>
      </x:c>
      <x:c r="E185" s="2" t="str">
        <x:v>Follow-up</x:v>
      </x:c>
      <x:c r="F185" s="11" t="n">
        <x:v>0</x:v>
      </x:c>
      <x:c r="G185" s="12" t="n">
        <x:f>F185*SUMIFS(Settings!$C$14:$C$17,Settings!$A$14:$A$17,D185)</x:f>
        <x:v>0</x:v>
      </x:c>
      <x:c r="H185" s="2" t="str">
        <x:v>Yes</x:v>
      </x:c>
      <x:c r="I185" s="2" t="str">
        <x:v>Follow-up requested for a later date.</x:v>
      </x:c>
      <x:c r="J185" s="2" t="str">
        <x:v>Day 12!A20:H20</x:v>
      </x:c>
    </x:row>
    <x:row r="186" ht="23" customHeight="1">
      <x:c r="A186" s="7" t="n">
        <x:v>46215.5</x:v>
      </x:c>
      <x:c r="B186" s="2" t="str">
        <x:v>2:35 PM</x:v>
      </x:c>
      <x:c r="C186" s="2" t="str">
        <x:v>FAKE-12-012</x:v>
      </x:c>
      <x:c r="D186" s="2" t="str">
        <x:f>Settings!$A$15</x:f>
        <x:v>Plus Package</x:v>
      </x:c>
      <x:c r="E186" s="2" t="str">
        <x:v>No sale</x:v>
      </x:c>
      <x:c r="F186" s="11" t="n">
        <x:v>0</x:v>
      </x:c>
      <x:c r="G186" s="12" t="n">
        <x:f>F186*SUMIFS(Settings!$C$14:$C$17,Settings!$A$14:$A$17,D186)</x:f>
        <x:v>0</x:v>
      </x:c>
      <x:c r="H186" s="2" t="str">
        <x:v>No</x:v>
      </x:c>
      <x:c r="I186" s="2" t="str">
        <x:v>No selection made; no follow-up needed.</x:v>
      </x:c>
      <x:c r="J186" s="2" t="str">
        <x:v>Day 12!A21:H21</x:v>
      </x:c>
    </x:row>
    <x:row r="187" ht="23" customHeight="1">
      <x:c r="A187" s="7" t="n">
        <x:v>46215.5</x:v>
      </x:c>
      <x:c r="B187" s="2" t="str">
        <x:v>3:05 PM</x:v>
      </x:c>
      <x:c r="C187" s="2" t="str">
        <x:v>FAKE-12-013</x:v>
      </x:c>
      <x:c r="D187" s="2" t="str">
        <x:f>Settings!$A$14</x:f>
        <x:v>Core Package</x:v>
      </x:c>
      <x:c r="E187" s="2" t="str">
        <x:v>Completed</x:v>
      </x:c>
      <x:c r="F187" s="11" t="n">
        <x:v>2</x:v>
      </x:c>
      <x:c r="G187" s="12" t="n">
        <x:f>F187*SUMIFS(Settings!$C$14:$C$17,Settings!$A$14:$A$17,D187)</x:f>
        <x:v>2</x:v>
      </x:c>
      <x:c r="H187" s="2" t="str">
        <x:v>No</x:v>
      </x:c>
      <x:c r="I187" s="2" t="str">
        <x:v>Completed the fictional selection.</x:v>
      </x:c>
      <x:c r="J187" s="2" t="str">
        <x:v>Day 12!A22:H22</x:v>
      </x:c>
    </x:row>
    <x:row r="188" ht="23" customHeight="1">
      <x:c r="A188" s="7" t="n">
        <x:v>46215.5</x:v>
      </x:c>
      <x:c r="B188" s="2" t="str">
        <x:v>3:35 PM</x:v>
      </x:c>
      <x:c r="C188" s="2" t="str">
        <x:v>FAKE-12-014</x:v>
      </x:c>
      <x:c r="D188" s="2" t="str">
        <x:f>Settings!$A$17</x:f>
        <x:v>Optional Add-on</x:v>
      </x:c>
      <x:c r="E188" s="2" t="str">
        <x:v>Completed</x:v>
      </x:c>
      <x:c r="F188" s="11" t="n">
        <x:v>1</x:v>
      </x:c>
      <x:c r="G188" s="12" t="n">
        <x:f>F188*SUMIFS(Settings!$C$14:$C$17,Settings!$A$14:$A$17,D188)</x:f>
        <x:v>0.5</x:v>
      </x:c>
      <x:c r="H188" s="2" t="str">
        <x:v>No</x:v>
      </x:c>
      <x:c r="I188" s="2" t="str">
        <x:v>Completed the fictional selection.</x:v>
      </x:c>
      <x:c r="J188" s="2" t="str">
        <x:v>Day 12!A23:H23</x:v>
      </x:c>
    </x:row>
    <x:row r="189" ht="23" customHeight="1">
      <x:c r="A189" s="7" t="n">
        <x:v>46215.5</x:v>
      </x:c>
      <x:c r="B189" s="2" t="str">
        <x:v>4:05 PM</x:v>
      </x:c>
      <x:c r="C189" s="2" t="str">
        <x:v>FAKE-12-015</x:v>
      </x:c>
      <x:c r="D189" s="2" t="str">
        <x:f>Settings!$A$16</x:f>
        <x:v>Premium Package</x:v>
      </x:c>
      <x:c r="E189" s="2" t="str">
        <x:v>Completed</x:v>
      </x:c>
      <x:c r="F189" s="11" t="n">
        <x:v>1</x:v>
      </x:c>
      <x:c r="G189" s="12" t="n">
        <x:f>F189*SUMIFS(Settings!$C$14:$C$17,Settings!$A$14:$A$17,D189)</x:f>
        <x:v>2</x:v>
      </x:c>
      <x:c r="H189" s="2" t="str">
        <x:v>No</x:v>
      </x:c>
      <x:c r="I189" s="2" t="str">
        <x:v>Completed the fictional selection.</x:v>
      </x:c>
      <x:c r="J189" s="2" t="str">
        <x:v>Day 12!A24:H24</x:v>
      </x:c>
    </x:row>
    <x:row r="190" ht="23" customHeight="1">
      <x:c r="A190" s="7" t="n">
        <x:v>46215.5</x:v>
      </x:c>
      <x:c r="B190" s="2" t="str">
        <x:v>4:35 PM</x:v>
      </x:c>
      <x:c r="C190" s="2" t="str">
        <x:v>FAKE-12-016</x:v>
      </x:c>
      <x:c r="D190" s="2" t="str">
        <x:f>Settings!$A$15</x:f>
        <x:v>Plus Package</x:v>
      </x:c>
      <x:c r="E190" s="2" t="str">
        <x:v>Follow-up</x:v>
      </x:c>
      <x:c r="F190" s="11" t="n">
        <x:v>0</x:v>
      </x:c>
      <x:c r="G190" s="12" t="n">
        <x:f>F190*SUMIFS(Settings!$C$14:$C$17,Settings!$A$14:$A$17,D190)</x:f>
        <x:v>0</x:v>
      </x:c>
      <x:c r="H190" s="2" t="str">
        <x:v>Yes</x:v>
      </x:c>
      <x:c r="I190" s="2" t="str">
        <x:v>Follow-up requested for a later date.</x:v>
      </x:c>
      <x:c r="J190" s="2" t="str">
        <x:v>Day 12!A25:H25</x:v>
      </x:c>
    </x:row>
    <x:row r="191" ht="23" customHeight="1">
      <x:c r="A191" s="7" t="n">
        <x:v>46216.5</x:v>
      </x:c>
      <x:c r="B191" s="2" t="str">
        <x:v>9:05 AM</x:v>
      </x:c>
      <x:c r="C191" s="2" t="str">
        <x:v>FAKE-13-001</x:v>
      </x:c>
      <x:c r="D191" s="2" t="str">
        <x:f>Settings!$A$15</x:f>
        <x:v>Plus Package</x:v>
      </x:c>
      <x:c r="E191" s="2" t="str">
        <x:v>No sale</x:v>
      </x:c>
      <x:c r="F191" s="11" t="n">
        <x:v>0</x:v>
      </x:c>
      <x:c r="G191" s="12" t="n">
        <x:f>F191*SUMIFS(Settings!$C$14:$C$17,Settings!$A$14:$A$17,D191)</x:f>
        <x:v>0</x:v>
      </x:c>
      <x:c r="H191" s="2" t="str">
        <x:v>No</x:v>
      </x:c>
      <x:c r="I191" s="2" t="str">
        <x:v>No selection made; no follow-up needed.</x:v>
      </x:c>
      <x:c r="J191" s="2" t="str">
        <x:v>Day 13!A10:H10</x:v>
      </x:c>
    </x:row>
    <x:row r="192" ht="23" customHeight="1">
      <x:c r="A192" s="7" t="n">
        <x:v>46216.5</x:v>
      </x:c>
      <x:c r="B192" s="2" t="str">
        <x:v>9:35 AM</x:v>
      </x:c>
      <x:c r="C192" s="2" t="str">
        <x:v>FAKE-13-002</x:v>
      </x:c>
      <x:c r="D192" s="2" t="str">
        <x:f>Settings!$A$14</x:f>
        <x:v>Core Package</x:v>
      </x:c>
      <x:c r="E192" s="2" t="str">
        <x:v>Completed</x:v>
      </x:c>
      <x:c r="F192" s="11" t="n">
        <x:v>1</x:v>
      </x:c>
      <x:c r="G192" s="12" t="n">
        <x:f>F192*SUMIFS(Settings!$C$14:$C$17,Settings!$A$14:$A$17,D192)</x:f>
        <x:v>1</x:v>
      </x:c>
      <x:c r="H192" s="2" t="str">
        <x:v>No</x:v>
      </x:c>
      <x:c r="I192" s="2" t="str">
        <x:v>Completed the fictional selection.</x:v>
      </x:c>
      <x:c r="J192" s="2" t="str">
        <x:v>Day 13!A11:H11</x:v>
      </x:c>
    </x:row>
    <x:row r="193" ht="23" customHeight="1">
      <x:c r="A193" s="7" t="n">
        <x:v>46216.5</x:v>
      </x:c>
      <x:c r="B193" s="2" t="str">
        <x:v>10:05 AM</x:v>
      </x:c>
      <x:c r="C193" s="2" t="str">
        <x:v>FAKE-13-003</x:v>
      </x:c>
      <x:c r="D193" s="2" t="str">
        <x:f>Settings!$A$17</x:f>
        <x:v>Optional Add-on</x:v>
      </x:c>
      <x:c r="E193" s="2" t="str">
        <x:v>Completed</x:v>
      </x:c>
      <x:c r="F193" s="11" t="n">
        <x:v>1</x:v>
      </x:c>
      <x:c r="G193" s="12" t="n">
        <x:f>F193*SUMIFS(Settings!$C$14:$C$17,Settings!$A$14:$A$17,D193)</x:f>
        <x:v>0.5</x:v>
      </x:c>
      <x:c r="H193" s="2" t="str">
        <x:v>No</x:v>
      </x:c>
      <x:c r="I193" s="2" t="str">
        <x:v>Completed the fictional selection.</x:v>
      </x:c>
      <x:c r="J193" s="2" t="str">
        <x:v>Day 13!A12:H12</x:v>
      </x:c>
    </x:row>
    <x:row r="194" ht="23" customHeight="1">
      <x:c r="A194" s="7" t="n">
        <x:v>46216.5</x:v>
      </x:c>
      <x:c r="B194" s="2" t="str">
        <x:v>10:35 AM</x:v>
      </x:c>
      <x:c r="C194" s="2" t="str">
        <x:v>FAKE-13-004</x:v>
      </x:c>
      <x:c r="D194" s="2" t="str">
        <x:f>Settings!$A$16</x:f>
        <x:v>Premium Package</x:v>
      </x:c>
      <x:c r="E194" s="2" t="str">
        <x:v>Completed</x:v>
      </x:c>
      <x:c r="F194" s="11" t="n">
        <x:v>1</x:v>
      </x:c>
      <x:c r="G194" s="12" t="n">
        <x:f>F194*SUMIFS(Settings!$C$14:$C$17,Settings!$A$14:$A$17,D194)</x:f>
        <x:v>2</x:v>
      </x:c>
      <x:c r="H194" s="2" t="str">
        <x:v>No</x:v>
      </x:c>
      <x:c r="I194" s="2" t="str">
        <x:v>Completed the fictional selection.</x:v>
      </x:c>
      <x:c r="J194" s="2" t="str">
        <x:v>Day 13!A13:H13</x:v>
      </x:c>
    </x:row>
    <x:row r="195" ht="23" customHeight="1">
      <x:c r="A195" s="7" t="n">
        <x:v>46216.5</x:v>
      </x:c>
      <x:c r="B195" s="2" t="str">
        <x:v>11:05 AM</x:v>
      </x:c>
      <x:c r="C195" s="2" t="str">
        <x:v>FAKE-13-005</x:v>
      </x:c>
      <x:c r="D195" s="2" t="str">
        <x:f>Settings!$A$15</x:f>
        <x:v>Plus Package</x:v>
      </x:c>
      <x:c r="E195" s="2" t="str">
        <x:v>Follow-up</x:v>
      </x:c>
      <x:c r="F195" s="11" t="n">
        <x:v>0</x:v>
      </x:c>
      <x:c r="G195" s="12" t="n">
        <x:f>F195*SUMIFS(Settings!$C$14:$C$17,Settings!$A$14:$A$17,D195)</x:f>
        <x:v>0</x:v>
      </x:c>
      <x:c r="H195" s="2" t="str">
        <x:v>Yes</x:v>
      </x:c>
      <x:c r="I195" s="2" t="str">
        <x:v>Follow-up requested for a later date.</x:v>
      </x:c>
      <x:c r="J195" s="2" t="str">
        <x:v>Day 13!A14:H14</x:v>
      </x:c>
    </x:row>
    <x:row r="196" ht="23" customHeight="1">
      <x:c r="A196" s="7" t="n">
        <x:v>46216.5</x:v>
      </x:c>
      <x:c r="B196" s="2" t="str">
        <x:v>11:35 AM</x:v>
      </x:c>
      <x:c r="C196" s="2" t="str">
        <x:v>FAKE-13-006</x:v>
      </x:c>
      <x:c r="D196" s="2" t="str">
        <x:f>Settings!$A$14</x:f>
        <x:v>Core Package</x:v>
      </x:c>
      <x:c r="E196" s="2" t="str">
        <x:v>No sale</x:v>
      </x:c>
      <x:c r="F196" s="11" t="n">
        <x:v>0</x:v>
      </x:c>
      <x:c r="G196" s="12" t="n">
        <x:f>F196*SUMIFS(Settings!$C$14:$C$17,Settings!$A$14:$A$17,D196)</x:f>
        <x:v>0</x:v>
      </x:c>
      <x:c r="H196" s="2" t="str">
        <x:v>No</x:v>
      </x:c>
      <x:c r="I196" s="2" t="str">
        <x:v>No selection made; no follow-up needed.</x:v>
      </x:c>
      <x:c r="J196" s="2" t="str">
        <x:v>Day 13!A15:H15</x:v>
      </x:c>
    </x:row>
    <x:row r="197" ht="23" customHeight="1">
      <x:c r="A197" s="7" t="n">
        <x:v>46216.5</x:v>
      </x:c>
      <x:c r="B197" s="2" t="str">
        <x:v>12:05 PM</x:v>
      </x:c>
      <x:c r="C197" s="2" t="str">
        <x:v>FAKE-13-007</x:v>
      </x:c>
      <x:c r="D197" s="2" t="str">
        <x:f>Settings!$A$17</x:f>
        <x:v>Optional Add-on</x:v>
      </x:c>
      <x:c r="E197" s="2" t="str">
        <x:v>Completed</x:v>
      </x:c>
      <x:c r="F197" s="11" t="n">
        <x:v>1</x:v>
      </x:c>
      <x:c r="G197" s="12" t="n">
        <x:f>F197*SUMIFS(Settings!$C$14:$C$17,Settings!$A$14:$A$17,D197)</x:f>
        <x:v>0.5</x:v>
      </x:c>
      <x:c r="H197" s="2" t="str">
        <x:v>No</x:v>
      </x:c>
      <x:c r="I197" s="2" t="str">
        <x:v>Completed the fictional selection.</x:v>
      </x:c>
      <x:c r="J197" s="2" t="str">
        <x:v>Day 13!A16:H16</x:v>
      </x:c>
    </x:row>
    <x:row r="198" ht="23" customHeight="1">
      <x:c r="A198" s="7" t="n">
        <x:v>46216.5</x:v>
      </x:c>
      <x:c r="B198" s="2" t="str">
        <x:v>12:35 PM</x:v>
      </x:c>
      <x:c r="C198" s="2" t="str">
        <x:v>FAKE-13-008</x:v>
      </x:c>
      <x:c r="D198" s="2" t="str">
        <x:f>Settings!$A$16</x:f>
        <x:v>Premium Package</x:v>
      </x:c>
      <x:c r="E198" s="2" t="str">
        <x:v>Completed</x:v>
      </x:c>
      <x:c r="F198" s="11" t="n">
        <x:v>1</x:v>
      </x:c>
      <x:c r="G198" s="12" t="n">
        <x:f>F198*SUMIFS(Settings!$C$14:$C$17,Settings!$A$14:$A$17,D198)</x:f>
        <x:v>2</x:v>
      </x:c>
      <x:c r="H198" s="2" t="str">
        <x:v>No</x:v>
      </x:c>
      <x:c r="I198" s="2" t="str">
        <x:v>Completed the fictional selection.</x:v>
      </x:c>
      <x:c r="J198" s="2" t="str">
        <x:v>Day 13!A17:H17</x:v>
      </x:c>
    </x:row>
    <x:row r="199" ht="23" customHeight="1">
      <x:c r="A199" s="7" t="n">
        <x:v>46216.5</x:v>
      </x:c>
      <x:c r="B199" s="2" t="str">
        <x:v>1:05 PM</x:v>
      </x:c>
      <x:c r="C199" s="2" t="str">
        <x:v>FAKE-13-009</x:v>
      </x:c>
      <x:c r="D199" s="2" t="str">
        <x:f>Settings!$A$15</x:f>
        <x:v>Plus Package</x:v>
      </x:c>
      <x:c r="E199" s="2" t="str">
        <x:v>Completed</x:v>
      </x:c>
      <x:c r="F199" s="11" t="n">
        <x:v>1</x:v>
      </x:c>
      <x:c r="G199" s="12" t="n">
        <x:f>F199*SUMIFS(Settings!$C$14:$C$17,Settings!$A$14:$A$17,D199)</x:f>
        <x:v>1.5</x:v>
      </x:c>
      <x:c r="H199" s="2" t="str">
        <x:v>No</x:v>
      </x:c>
      <x:c r="I199" s="2" t="str">
        <x:v>Completed the fictional selection.</x:v>
      </x:c>
      <x:c r="J199" s="2" t="str">
        <x:v>Day 13!A18:H18</x:v>
      </x:c>
    </x:row>
    <x:row r="200" ht="23" customHeight="1">
      <x:c r="A200" s="7" t="n">
        <x:v>46216.5</x:v>
      </x:c>
      <x:c r="B200" s="2" t="str">
        <x:v>1:35 PM</x:v>
      </x:c>
      <x:c r="C200" s="2" t="str">
        <x:v>FAKE-13-010</x:v>
      </x:c>
      <x:c r="D200" s="2" t="str">
        <x:f>Settings!$A$14</x:f>
        <x:v>Core Package</x:v>
      </x:c>
      <x:c r="E200" s="2" t="str">
        <x:v>Follow-up</x:v>
      </x:c>
      <x:c r="F200" s="11" t="n">
        <x:v>0</x:v>
      </x:c>
      <x:c r="G200" s="12" t="n">
        <x:f>F200*SUMIFS(Settings!$C$14:$C$17,Settings!$A$14:$A$17,D200)</x:f>
        <x:v>0</x:v>
      </x:c>
      <x:c r="H200" s="2" t="str">
        <x:v>Yes</x:v>
      </x:c>
      <x:c r="I200" s="2" t="str">
        <x:v>Follow-up requested for a later date.</x:v>
      </x:c>
      <x:c r="J200" s="2" t="str">
        <x:v>Day 13!A19:H19</x:v>
      </x:c>
    </x:row>
    <x:row r="201" ht="23" customHeight="1">
      <x:c r="A201" s="7" t="n">
        <x:v>46216.5</x:v>
      </x:c>
      <x:c r="B201" s="2" t="str">
        <x:v>2:05 PM</x:v>
      </x:c>
      <x:c r="C201" s="2" t="str">
        <x:v>FAKE-13-011</x:v>
      </x:c>
      <x:c r="D201" s="2" t="str">
        <x:f>Settings!$A$17</x:f>
        <x:v>Optional Add-on</x:v>
      </x:c>
      <x:c r="E201" s="2" t="str">
        <x:v>No sale</x:v>
      </x:c>
      <x:c r="F201" s="11" t="n">
        <x:v>0</x:v>
      </x:c>
      <x:c r="G201" s="12" t="n">
        <x:f>F201*SUMIFS(Settings!$C$14:$C$17,Settings!$A$14:$A$17,D201)</x:f>
        <x:v>0</x:v>
      </x:c>
      <x:c r="H201" s="2" t="str">
        <x:v>No</x:v>
      </x:c>
      <x:c r="I201" s="2" t="str">
        <x:v>No selection made; no follow-up needed.</x:v>
      </x:c>
      <x:c r="J201" s="2" t="str">
        <x:v>Day 13!A20:H20</x:v>
      </x:c>
    </x:row>
    <x:row r="202" ht="23" customHeight="1">
      <x:c r="A202" s="7" t="n">
        <x:v>46216.5</x:v>
      </x:c>
      <x:c r="B202" s="2" t="str">
        <x:v>2:35 PM</x:v>
      </x:c>
      <x:c r="C202" s="2" t="str">
        <x:v>FAKE-13-012</x:v>
      </x:c>
      <x:c r="D202" s="2" t="str">
        <x:f>Settings!$A$16</x:f>
        <x:v>Premium Package</x:v>
      </x:c>
      <x:c r="E202" s="2" t="str">
        <x:v>Completed</x:v>
      </x:c>
      <x:c r="F202" s="11" t="n">
        <x:v>1</x:v>
      </x:c>
      <x:c r="G202" s="12" t="n">
        <x:f>F202*SUMIFS(Settings!$C$14:$C$17,Settings!$A$14:$A$17,D202)</x:f>
        <x:v>2</x:v>
      </x:c>
      <x:c r="H202" s="2" t="str">
        <x:v>No</x:v>
      </x:c>
      <x:c r="I202" s="2" t="str">
        <x:v>Completed the fictional selection.</x:v>
      </x:c>
      <x:c r="J202" s="2" t="str">
        <x:v>Day 13!A21:H21</x:v>
      </x:c>
    </x:row>
    <x:row r="203" ht="23" customHeight="1">
      <x:c r="A203" s="7" t="n">
        <x:v>46216.5</x:v>
      </x:c>
      <x:c r="B203" s="2" t="str">
        <x:v>3:05 PM</x:v>
      </x:c>
      <x:c r="C203" s="2" t="str">
        <x:v>FAKE-13-013</x:v>
      </x:c>
      <x:c r="D203" s="2" t="str">
        <x:f>Settings!$A$15</x:f>
        <x:v>Plus Package</x:v>
      </x:c>
      <x:c r="E203" s="2" t="str">
        <x:v>Completed</x:v>
      </x:c>
      <x:c r="F203" s="11" t="n">
        <x:v>1</x:v>
      </x:c>
      <x:c r="G203" s="12" t="n">
        <x:f>F203*SUMIFS(Settings!$C$14:$C$17,Settings!$A$14:$A$17,D203)</x:f>
        <x:v>1.5</x:v>
      </x:c>
      <x:c r="H203" s="2" t="str">
        <x:v>No</x:v>
      </x:c>
      <x:c r="I203" s="2" t="str">
        <x:v>Completed the fictional selection.</x:v>
      </x:c>
      <x:c r="J203" s="2" t="str">
        <x:v>Day 13!A22:H22</x:v>
      </x:c>
    </x:row>
    <x:row r="204" ht="23" customHeight="1">
      <x:c r="A204" s="7" t="n">
        <x:v>46216.5</x:v>
      </x:c>
      <x:c r="B204" s="2" t="str">
        <x:v>3:35 PM</x:v>
      </x:c>
      <x:c r="C204" s="2" t="str">
        <x:v>FAKE-13-014</x:v>
      </x:c>
      <x:c r="D204" s="2" t="str">
        <x:f>Settings!$A$14</x:f>
        <x:v>Core Package</x:v>
      </x:c>
      <x:c r="E204" s="2" t="str">
        <x:v>Completed</x:v>
      </x:c>
      <x:c r="F204" s="11" t="n">
        <x:v>1</x:v>
      </x:c>
      <x:c r="G204" s="12" t="n">
        <x:f>F204*SUMIFS(Settings!$C$14:$C$17,Settings!$A$14:$A$17,D204)</x:f>
        <x:v>1</x:v>
      </x:c>
      <x:c r="H204" s="2" t="str">
        <x:v>No</x:v>
      </x:c>
      <x:c r="I204" s="2" t="str">
        <x:v>Completed the fictional selection.</x:v>
      </x:c>
      <x:c r="J204" s="2" t="str">
        <x:v>Day 13!A23:H23</x:v>
      </x:c>
    </x:row>
    <x:row r="205" ht="23" customHeight="1">
      <x:c r="A205" s="7" t="n">
        <x:v>46217.5</x:v>
      </x:c>
      <x:c r="B205" s="2" t="str">
        <x:v>9:05 AM</x:v>
      </x:c>
      <x:c r="C205" s="2" t="str">
        <x:v>FAKE-14-001</x:v>
      </x:c>
      <x:c r="D205" s="2" t="str">
        <x:f>Settings!$A$16</x:f>
        <x:v>Premium Package</x:v>
      </x:c>
      <x:c r="E205" s="2" t="str">
        <x:v>Completed</x:v>
      </x:c>
      <x:c r="F205" s="11" t="n">
        <x:v>1</x:v>
      </x:c>
      <x:c r="G205" s="12" t="n">
        <x:f>F205*SUMIFS(Settings!$C$14:$C$17,Settings!$A$14:$A$17,D205)</x:f>
        <x:v>2</x:v>
      </x:c>
      <x:c r="H205" s="2" t="str">
        <x:v>No</x:v>
      </x:c>
      <x:c r="I205" s="2" t="str">
        <x:v>Completed the fictional selection.</x:v>
      </x:c>
      <x:c r="J205" s="2" t="str">
        <x:v>Day 14!A10:H10</x:v>
      </x:c>
    </x:row>
    <x:row r="206" ht="23" customHeight="1">
      <x:c r="A206" s="7" t="n">
        <x:v>46217.5</x:v>
      </x:c>
      <x:c r="B206" s="2" t="str">
        <x:v>9:35 AM</x:v>
      </x:c>
      <x:c r="C206" s="2" t="str">
        <x:v>FAKE-14-002</x:v>
      </x:c>
      <x:c r="D206" s="2" t="str">
        <x:f>Settings!$A$15</x:f>
        <x:v>Plus Package</x:v>
      </x:c>
      <x:c r="E206" s="2" t="str">
        <x:v>Completed</x:v>
      </x:c>
      <x:c r="F206" s="11" t="n">
        <x:v>1</x:v>
      </x:c>
      <x:c r="G206" s="12" t="n">
        <x:f>F206*SUMIFS(Settings!$C$14:$C$17,Settings!$A$14:$A$17,D206)</x:f>
        <x:v>1.5</x:v>
      </x:c>
      <x:c r="H206" s="2" t="str">
        <x:v>No</x:v>
      </x:c>
      <x:c r="I206" s="2" t="str">
        <x:v>Completed the fictional selection.</x:v>
      </x:c>
      <x:c r="J206" s="2" t="str">
        <x:v>Day 14!A11:H11</x:v>
      </x:c>
    </x:row>
    <x:row r="207" ht="23" customHeight="1">
      <x:c r="A207" s="7" t="n">
        <x:v>46217.5</x:v>
      </x:c>
      <x:c r="B207" s="2" t="str">
        <x:v>10:05 AM</x:v>
      </x:c>
      <x:c r="C207" s="2" t="str">
        <x:v>FAKE-14-003</x:v>
      </x:c>
      <x:c r="D207" s="2" t="str">
        <x:f>Settings!$A$14</x:f>
        <x:v>Core Package</x:v>
      </x:c>
      <x:c r="E207" s="2" t="str">
        <x:v>Follow-up</x:v>
      </x:c>
      <x:c r="F207" s="11" t="n">
        <x:v>0</x:v>
      </x:c>
      <x:c r="G207" s="12" t="n">
        <x:f>F207*SUMIFS(Settings!$C$14:$C$17,Settings!$A$14:$A$17,D207)</x:f>
        <x:v>0</x:v>
      </x:c>
      <x:c r="H207" s="2" t="str">
        <x:v>Yes</x:v>
      </x:c>
      <x:c r="I207" s="2" t="str">
        <x:v>Follow-up requested for a later date.</x:v>
      </x:c>
      <x:c r="J207" s="2" t="str">
        <x:v>Day 14!A12:H12</x:v>
      </x:c>
    </x:row>
    <x:row r="208" ht="23" customHeight="1">
      <x:c r="A208" s="7" t="n">
        <x:v>46217.5</x:v>
      </x:c>
      <x:c r="B208" s="2" t="str">
        <x:v>10:35 AM</x:v>
      </x:c>
      <x:c r="C208" s="2" t="str">
        <x:v>FAKE-14-004</x:v>
      </x:c>
      <x:c r="D208" s="2" t="str">
        <x:f>Settings!$A$17</x:f>
        <x:v>Optional Add-on</x:v>
      </x:c>
      <x:c r="E208" s="2" t="str">
        <x:v>No sale</x:v>
      </x:c>
      <x:c r="F208" s="11" t="n">
        <x:v>0</x:v>
      </x:c>
      <x:c r="G208" s="12" t="n">
        <x:f>F208*SUMIFS(Settings!$C$14:$C$17,Settings!$A$14:$A$17,D208)</x:f>
        <x:v>0</x:v>
      </x:c>
      <x:c r="H208" s="2" t="str">
        <x:v>No</x:v>
      </x:c>
      <x:c r="I208" s="2" t="str">
        <x:v>No selection made; no follow-up needed.</x:v>
      </x:c>
      <x:c r="J208" s="2" t="str">
        <x:v>Day 14!A13:H13</x:v>
      </x:c>
    </x:row>
    <x:row r="209" ht="23" customHeight="1">
      <x:c r="A209" s="7" t="n">
        <x:v>46217.5</x:v>
      </x:c>
      <x:c r="B209" s="2" t="str">
        <x:v>11:05 AM</x:v>
      </x:c>
      <x:c r="C209" s="2" t="str">
        <x:v>FAKE-14-005</x:v>
      </x:c>
      <x:c r="D209" s="2" t="str">
        <x:f>Settings!$A$16</x:f>
        <x:v>Premium Package</x:v>
      </x:c>
      <x:c r="E209" s="2" t="str">
        <x:v>Completed</x:v>
      </x:c>
      <x:c r="F209" s="11" t="n">
        <x:v>2</x:v>
      </x:c>
      <x:c r="G209" s="12" t="n">
        <x:f>F209*SUMIFS(Settings!$C$14:$C$17,Settings!$A$14:$A$17,D209)</x:f>
        <x:v>4</x:v>
      </x:c>
      <x:c r="H209" s="2" t="str">
        <x:v>No</x:v>
      </x:c>
      <x:c r="I209" s="2" t="str">
        <x:v>Completed the fictional selection.</x:v>
      </x:c>
      <x:c r="J209" s="2" t="str">
        <x:v>Day 14!A14:H14</x:v>
      </x:c>
    </x:row>
    <x:row r="210" ht="23" customHeight="1">
      <x:c r="A210" s="7" t="n">
        <x:v>46217.5</x:v>
      </x:c>
      <x:c r="B210" s="2" t="str">
        <x:v>11:35 AM</x:v>
      </x:c>
      <x:c r="C210" s="2" t="str">
        <x:v>FAKE-14-006</x:v>
      </x:c>
      <x:c r="D210" s="2" t="str">
        <x:f>Settings!$A$15</x:f>
        <x:v>Plus Package</x:v>
      </x:c>
      <x:c r="E210" s="2" t="str">
        <x:v>Completed</x:v>
      </x:c>
      <x:c r="F210" s="11" t="n">
        <x:v>1</x:v>
      </x:c>
      <x:c r="G210" s="12" t="n">
        <x:f>F210*SUMIFS(Settings!$C$14:$C$17,Settings!$A$14:$A$17,D210)</x:f>
        <x:v>1.5</x:v>
      </x:c>
      <x:c r="H210" s="2" t="str">
        <x:v>No</x:v>
      </x:c>
      <x:c r="I210" s="2" t="str">
        <x:v>Completed the fictional selection.</x:v>
      </x:c>
      <x:c r="J210" s="2" t="str">
        <x:v>Day 14!A15:H15</x:v>
      </x:c>
    </x:row>
    <x:row r="211" ht="23" customHeight="1">
      <x:c r="A211" s="7" t="n">
        <x:v>46217.5</x:v>
      </x:c>
      <x:c r="B211" s="2" t="str">
        <x:v>12:05 PM</x:v>
      </x:c>
      <x:c r="C211" s="2" t="str">
        <x:v>FAKE-14-007</x:v>
      </x:c>
      <x:c r="D211" s="2" t="str">
        <x:f>Settings!$A$14</x:f>
        <x:v>Core Package</x:v>
      </x:c>
      <x:c r="E211" s="2" t="str">
        <x:v>Completed</x:v>
      </x:c>
      <x:c r="F211" s="11" t="n">
        <x:v>1</x:v>
      </x:c>
      <x:c r="G211" s="12" t="n">
        <x:f>F211*SUMIFS(Settings!$C$14:$C$17,Settings!$A$14:$A$17,D211)</x:f>
        <x:v>1</x:v>
      </x:c>
      <x:c r="H211" s="2" t="str">
        <x:v>No</x:v>
      </x:c>
      <x:c r="I211" s="2" t="str">
        <x:v>Completed the fictional selection.</x:v>
      </x:c>
      <x:c r="J211" s="2" t="str">
        <x:v>Day 14!A16:H16</x:v>
      </x:c>
    </x:row>
    <x:row r="212" ht="23" customHeight="1">
      <x:c r="A212" s="7" t="n">
        <x:v>46217.5</x:v>
      </x:c>
      <x:c r="B212" s="2" t="str">
        <x:v>12:35 PM</x:v>
      </x:c>
      <x:c r="C212" s="2" t="str">
        <x:v>FAKE-14-008</x:v>
      </x:c>
      <x:c r="D212" s="2" t="str">
        <x:f>Settings!$A$17</x:f>
        <x:v>Optional Add-on</x:v>
      </x:c>
      <x:c r="E212" s="2" t="str">
        <x:v>Follow-up</x:v>
      </x:c>
      <x:c r="F212" s="11" t="n">
        <x:v>0</x:v>
      </x:c>
      <x:c r="G212" s="12" t="n">
        <x:f>F212*SUMIFS(Settings!$C$14:$C$17,Settings!$A$14:$A$17,D212)</x:f>
        <x:v>0</x:v>
      </x:c>
      <x:c r="H212" s="2" t="str">
        <x:v>Yes</x:v>
      </x:c>
      <x:c r="I212" s="2" t="str">
        <x:v>Follow-up requested for a later date.</x:v>
      </x:c>
      <x:c r="J212" s="2" t="str">
        <x:v>Day 14!A17:H17</x:v>
      </x:c>
    </x:row>
    <x:row r="213" ht="23" customHeight="1">
      <x:c r="A213" s="7" t="n">
        <x:v>46217.5</x:v>
      </x:c>
      <x:c r="B213" s="2" t="str">
        <x:v>1:05 PM</x:v>
      </x:c>
      <x:c r="C213" s="2" t="str">
        <x:v>FAKE-14-009</x:v>
      </x:c>
      <x:c r="D213" s="2" t="str">
        <x:f>Settings!$A$16</x:f>
        <x:v>Premium Package</x:v>
      </x:c>
      <x:c r="E213" s="2" t="str">
        <x:v>No sale</x:v>
      </x:c>
      <x:c r="F213" s="11" t="n">
        <x:v>0</x:v>
      </x:c>
      <x:c r="G213" s="12" t="n">
        <x:f>F213*SUMIFS(Settings!$C$14:$C$17,Settings!$A$14:$A$17,D213)</x:f>
        <x:v>0</x:v>
      </x:c>
      <x:c r="H213" s="2" t="str">
        <x:v>No</x:v>
      </x:c>
      <x:c r="I213" s="2" t="str">
        <x:v>No selection made; no follow-up needed.</x:v>
      </x:c>
      <x:c r="J213" s="2" t="str">
        <x:v>Day 14!A18:H18</x:v>
      </x:c>
    </x:row>
    <x:row r="214" ht="23" customHeight="1">
      <x:c r="A214" s="7" t="n">
        <x:v>46217.5</x:v>
      </x:c>
      <x:c r="B214" s="2" t="str">
        <x:v>1:35 PM</x:v>
      </x:c>
      <x:c r="C214" s="2" t="str">
        <x:v>FAKE-14-010</x:v>
      </x:c>
      <x:c r="D214" s="2" t="str">
        <x:f>Settings!$A$15</x:f>
        <x:v>Plus Package</x:v>
      </x:c>
      <x:c r="E214" s="2" t="str">
        <x:v>Completed</x:v>
      </x:c>
      <x:c r="F214" s="11" t="n">
        <x:v>2</x:v>
      </x:c>
      <x:c r="G214" s="12" t="n">
        <x:f>F214*SUMIFS(Settings!$C$14:$C$17,Settings!$A$14:$A$17,D214)</x:f>
        <x:v>3</x:v>
      </x:c>
      <x:c r="H214" s="2" t="str">
        <x:v>No</x:v>
      </x:c>
      <x:c r="I214" s="2" t="str">
        <x:v>Completed the fictional selection.</x:v>
      </x:c>
      <x:c r="J214" s="2" t="str">
        <x:v>Day 14!A19:H19</x:v>
      </x:c>
    </x:row>
    <x:row r="215" ht="23" customHeight="1">
      <x:c r="A215" s="7" t="n">
        <x:v>46217.5</x:v>
      </x:c>
      <x:c r="B215" s="2" t="str">
        <x:v>2:05 PM</x:v>
      </x:c>
      <x:c r="C215" s="2" t="str">
        <x:v>FAKE-14-011</x:v>
      </x:c>
      <x:c r="D215" s="2" t="str">
        <x:f>Settings!$A$14</x:f>
        <x:v>Core Package</x:v>
      </x:c>
      <x:c r="E215" s="2" t="str">
        <x:v>Completed</x:v>
      </x:c>
      <x:c r="F215" s="11" t="n">
        <x:v>1</x:v>
      </x:c>
      <x:c r="G215" s="12" t="n">
        <x:f>F215*SUMIFS(Settings!$C$14:$C$17,Settings!$A$14:$A$17,D215)</x:f>
        <x:v>1</x:v>
      </x:c>
      <x:c r="H215" s="2" t="str">
        <x:v>No</x:v>
      </x:c>
      <x:c r="I215" s="2" t="str">
        <x:v>Completed the fictional selection.</x:v>
      </x:c>
      <x:c r="J215" s="2" t="str">
        <x:v>Day 14!A20:H20</x:v>
      </x:c>
    </x:row>
    <x:row r="216" ht="23" customHeight="1">
      <x:c r="A216" s="7" t="n">
        <x:v>46217.5</x:v>
      </x:c>
      <x:c r="B216" s="2" t="str">
        <x:v>2:35 PM</x:v>
      </x:c>
      <x:c r="C216" s="2" t="str">
        <x:v>FAKE-14-012</x:v>
      </x:c>
      <x:c r="D216" s="2" t="str">
        <x:f>Settings!$A$17</x:f>
        <x:v>Optional Add-on</x:v>
      </x:c>
      <x:c r="E216" s="2" t="str">
        <x:v>Completed</x:v>
      </x:c>
      <x:c r="F216" s="11" t="n">
        <x:v>1</x:v>
      </x:c>
      <x:c r="G216" s="12" t="n">
        <x:f>F216*SUMIFS(Settings!$C$14:$C$17,Settings!$A$14:$A$17,D216)</x:f>
        <x:v>0.5</x:v>
      </x:c>
      <x:c r="H216" s="2" t="str">
        <x:v>No</x:v>
      </x:c>
      <x:c r="I216" s="2" t="str">
        <x:v>Completed the fictional selection.</x:v>
      </x:c>
      <x:c r="J216" s="2" t="str">
        <x:v>Day 14!A21:H21</x:v>
      </x:c>
    </x:row>
    <x:row r="217" ht="23" customHeight="1">
      <x:c r="A217" s="7" t="n">
        <x:v>46218.5</x:v>
      </x:c>
      <x:c r="B217" s="2" t="str">
        <x:v>9:05 AM</x:v>
      </x:c>
      <x:c r="C217" s="2" t="str">
        <x:v>FAKE-15-001</x:v>
      </x:c>
      <x:c r="D217" s="2" t="str">
        <x:f>Settings!$A$17</x:f>
        <x:v>Optional Add-on</x:v>
      </x:c>
      <x:c r="E217" s="2" t="str">
        <x:v>Completed</x:v>
      </x:c>
      <x:c r="F217" s="11" t="n">
        <x:v>1</x:v>
      </x:c>
      <x:c r="G217" s="12" t="n">
        <x:f>F217*SUMIFS(Settings!$C$14:$C$17,Settings!$A$14:$A$17,D217)</x:f>
        <x:v>0.5</x:v>
      </x:c>
      <x:c r="H217" s="2" t="str">
        <x:v>No</x:v>
      </x:c>
      <x:c r="I217" s="2" t="str">
        <x:v>Completed the fictional selection.</x:v>
      </x:c>
      <x:c r="J217" s="2" t="str">
        <x:v>Day 15!A10:H10</x:v>
      </x:c>
    </x:row>
    <x:row r="218" ht="23" customHeight="1">
      <x:c r="A218" s="7" t="n">
        <x:v>46218.5</x:v>
      </x:c>
      <x:c r="B218" s="2" t="str">
        <x:v>9:35 AM</x:v>
      </x:c>
      <x:c r="C218" s="2" t="str">
        <x:v>FAKE-15-002</x:v>
      </x:c>
      <x:c r="D218" s="2" t="str">
        <x:f>Settings!$A$16</x:f>
        <x:v>Premium Package</x:v>
      </x:c>
      <x:c r="E218" s="2" t="str">
        <x:v>Follow-up</x:v>
      </x:c>
      <x:c r="F218" s="11" t="n">
        <x:v>0</x:v>
      </x:c>
      <x:c r="G218" s="12" t="n">
        <x:f>F218*SUMIFS(Settings!$C$14:$C$17,Settings!$A$14:$A$17,D218)</x:f>
        <x:v>0</x:v>
      </x:c>
      <x:c r="H218" s="2" t="str">
        <x:v>Yes</x:v>
      </x:c>
      <x:c r="I218" s="2" t="str">
        <x:v>Follow-up requested for a later date.</x:v>
      </x:c>
      <x:c r="J218" s="2" t="str">
        <x:v>Day 15!A11:H11</x:v>
      </x:c>
    </x:row>
    <x:row r="219" ht="23" customHeight="1">
      <x:c r="A219" s="7" t="n">
        <x:v>46218.5</x:v>
      </x:c>
      <x:c r="B219" s="2" t="str">
        <x:v>10:05 AM</x:v>
      </x:c>
      <x:c r="C219" s="2" t="str">
        <x:v>FAKE-15-003</x:v>
      </x:c>
      <x:c r="D219" s="2" t="str">
        <x:f>Settings!$A$15</x:f>
        <x:v>Plus Package</x:v>
      </x:c>
      <x:c r="E219" s="2" t="str">
        <x:v>No sale</x:v>
      </x:c>
      <x:c r="F219" s="11" t="n">
        <x:v>0</x:v>
      </x:c>
      <x:c r="G219" s="12" t="n">
        <x:f>F219*SUMIFS(Settings!$C$14:$C$17,Settings!$A$14:$A$17,D219)</x:f>
        <x:v>0</x:v>
      </x:c>
      <x:c r="H219" s="2" t="str">
        <x:v>No</x:v>
      </x:c>
      <x:c r="I219" s="2" t="str">
        <x:v>No selection made; no follow-up needed.</x:v>
      </x:c>
      <x:c r="J219" s="2" t="str">
        <x:v>Day 15!A12:H12</x:v>
      </x:c>
    </x:row>
    <x:row r="220" ht="23" customHeight="1">
      <x:c r="A220" s="7" t="n">
        <x:v>46218.5</x:v>
      </x:c>
      <x:c r="B220" s="2" t="str">
        <x:v>10:35 AM</x:v>
      </x:c>
      <x:c r="C220" s="2" t="str">
        <x:v>FAKE-15-004</x:v>
      </x:c>
      <x:c r="D220" s="2" t="str">
        <x:f>Settings!$A$14</x:f>
        <x:v>Core Package</x:v>
      </x:c>
      <x:c r="E220" s="2" t="str">
        <x:v>Completed</x:v>
      </x:c>
      <x:c r="F220" s="11" t="n">
        <x:v>1</x:v>
      </x:c>
      <x:c r="G220" s="12" t="n">
        <x:f>F220*SUMIFS(Settings!$C$14:$C$17,Settings!$A$14:$A$17,D220)</x:f>
        <x:v>1</x:v>
      </x:c>
      <x:c r="H220" s="2" t="str">
        <x:v>No</x:v>
      </x:c>
      <x:c r="I220" s="2" t="str">
        <x:v>Completed the fictional selection.</x:v>
      </x:c>
      <x:c r="J220" s="2" t="str">
        <x:v>Day 15!A13:H13</x:v>
      </x:c>
    </x:row>
    <x:row r="221" ht="23" customHeight="1">
      <x:c r="A221" s="7" t="n">
        <x:v>46218.5</x:v>
      </x:c>
      <x:c r="B221" s="2" t="str">
        <x:v>11:05 AM</x:v>
      </x:c>
      <x:c r="C221" s="2" t="str">
        <x:v>FAKE-15-005</x:v>
      </x:c>
      <x:c r="D221" s="2" t="str">
        <x:f>Settings!$A$17</x:f>
        <x:v>Optional Add-on</x:v>
      </x:c>
      <x:c r="E221" s="2" t="str">
        <x:v>Completed</x:v>
      </x:c>
      <x:c r="F221" s="11" t="n">
        <x:v>1</x:v>
      </x:c>
      <x:c r="G221" s="12" t="n">
        <x:f>F221*SUMIFS(Settings!$C$14:$C$17,Settings!$A$14:$A$17,D221)</x:f>
        <x:v>0.5</x:v>
      </x:c>
      <x:c r="H221" s="2" t="str">
        <x:v>No</x:v>
      </x:c>
      <x:c r="I221" s="2" t="str">
        <x:v>Completed the fictional selection.</x:v>
      </x:c>
      <x:c r="J221" s="2" t="str">
        <x:v>Day 15!A14:H14</x:v>
      </x:c>
    </x:row>
    <x:row r="222" ht="23" customHeight="1">
      <x:c r="A222" s="7" t="n">
        <x:v>46218.5</x:v>
      </x:c>
      <x:c r="B222" s="2" t="str">
        <x:v>11:35 AM</x:v>
      </x:c>
      <x:c r="C222" s="2" t="str">
        <x:v>FAKE-15-006</x:v>
      </x:c>
      <x:c r="D222" s="2" t="str">
        <x:f>Settings!$A$16</x:f>
        <x:v>Premium Package</x:v>
      </x:c>
      <x:c r="E222" s="2" t="str">
        <x:v>Completed</x:v>
      </x:c>
      <x:c r="F222" s="11" t="n">
        <x:v>1</x:v>
      </x:c>
      <x:c r="G222" s="12" t="n">
        <x:f>F222*SUMIFS(Settings!$C$14:$C$17,Settings!$A$14:$A$17,D222)</x:f>
        <x:v>2</x:v>
      </x:c>
      <x:c r="H222" s="2" t="str">
        <x:v>No</x:v>
      </x:c>
      <x:c r="I222" s="2" t="str">
        <x:v>Completed the fictional selection.</x:v>
      </x:c>
      <x:c r="J222" s="2" t="str">
        <x:v>Day 15!A15:H15</x:v>
      </x:c>
    </x:row>
    <x:row r="223" ht="23" customHeight="1">
      <x:c r="A223" s="7" t="n">
        <x:v>46218.5</x:v>
      </x:c>
      <x:c r="B223" s="2" t="str">
        <x:v>12:05 PM</x:v>
      </x:c>
      <x:c r="C223" s="2" t="str">
        <x:v>FAKE-15-007</x:v>
      </x:c>
      <x:c r="D223" s="2" t="str">
        <x:f>Settings!$A$15</x:f>
        <x:v>Plus Package</x:v>
      </x:c>
      <x:c r="E223" s="2" t="str">
        <x:v>Follow-up</x:v>
      </x:c>
      <x:c r="F223" s="11" t="n">
        <x:v>0</x:v>
      </x:c>
      <x:c r="G223" s="12" t="n">
        <x:f>F223*SUMIFS(Settings!$C$14:$C$17,Settings!$A$14:$A$17,D223)</x:f>
        <x:v>0</x:v>
      </x:c>
      <x:c r="H223" s="2" t="str">
        <x:v>Yes</x:v>
      </x:c>
      <x:c r="I223" s="2" t="str">
        <x:v>Follow-up requested for a later date.</x:v>
      </x:c>
      <x:c r="J223" s="2" t="str">
        <x:v>Day 15!A16:H16</x:v>
      </x:c>
    </x:row>
    <x:row r="224" ht="23" customHeight="1">
      <x:c r="A224" s="7" t="n">
        <x:v>46218.5</x:v>
      </x:c>
      <x:c r="B224" s="2" t="str">
        <x:v>12:35 PM</x:v>
      </x:c>
      <x:c r="C224" s="2" t="str">
        <x:v>FAKE-15-008</x:v>
      </x:c>
      <x:c r="D224" s="2" t="str">
        <x:f>Settings!$A$14</x:f>
        <x:v>Core Package</x:v>
      </x:c>
      <x:c r="E224" s="2" t="str">
        <x:v>No sale</x:v>
      </x:c>
      <x:c r="F224" s="11" t="n">
        <x:v>0</x:v>
      </x:c>
      <x:c r="G224" s="12" t="n">
        <x:f>F224*SUMIFS(Settings!$C$14:$C$17,Settings!$A$14:$A$17,D224)</x:f>
        <x:v>0</x:v>
      </x:c>
      <x:c r="H224" s="2" t="str">
        <x:v>No</x:v>
      </x:c>
      <x:c r="I224" s="2" t="str">
        <x:v>No selection made; no follow-up needed.</x:v>
      </x:c>
      <x:c r="J224" s="2" t="str">
        <x:v>Day 15!A17:H17</x:v>
      </x:c>
    </x:row>
    <x:row r="225" ht="23" customHeight="1">
      <x:c r="A225" s="7" t="n">
        <x:v>46218.5</x:v>
      </x:c>
      <x:c r="B225" s="2" t="str">
        <x:v>1:05 PM</x:v>
      </x:c>
      <x:c r="C225" s="2" t="str">
        <x:v>FAKE-15-009</x:v>
      </x:c>
      <x:c r="D225" s="2" t="str">
        <x:f>Settings!$A$17</x:f>
        <x:v>Optional Add-on</x:v>
      </x:c>
      <x:c r="E225" s="2" t="str">
        <x:v>Completed</x:v>
      </x:c>
      <x:c r="F225" s="11" t="n">
        <x:v>1</x:v>
      </x:c>
      <x:c r="G225" s="12" t="n">
        <x:f>F225*SUMIFS(Settings!$C$14:$C$17,Settings!$A$14:$A$17,D225)</x:f>
        <x:v>0.5</x:v>
      </x:c>
      <x:c r="H225" s="2" t="str">
        <x:v>No</x:v>
      </x:c>
      <x:c r="I225" s="2" t="str">
        <x:v>Completed the fictional selection.</x:v>
      </x:c>
      <x:c r="J225" s="2" t="str">
        <x:v>Day 15!A18:H18</x:v>
      </x:c>
    </x:row>
    <x:row r="226" ht="23" customHeight="1">
      <x:c r="A226" s="7" t="n">
        <x:v>46218.5</x:v>
      </x:c>
      <x:c r="B226" s="2" t="str">
        <x:v>1:35 PM</x:v>
      </x:c>
      <x:c r="C226" s="2" t="str">
        <x:v>FAKE-15-010</x:v>
      </x:c>
      <x:c r="D226" s="2" t="str">
        <x:f>Settings!$A$16</x:f>
        <x:v>Premium Package</x:v>
      </x:c>
      <x:c r="E226" s="2" t="str">
        <x:v>Completed</x:v>
      </x:c>
      <x:c r="F226" s="11" t="n">
        <x:v>1</x:v>
      </x:c>
      <x:c r="G226" s="12" t="n">
        <x:f>F226*SUMIFS(Settings!$C$14:$C$17,Settings!$A$14:$A$17,D226)</x:f>
        <x:v>2</x:v>
      </x:c>
      <x:c r="H226" s="2" t="str">
        <x:v>No</x:v>
      </x:c>
      <x:c r="I226" s="2" t="str">
        <x:v>Completed the fictional selection.</x:v>
      </x:c>
      <x:c r="J226" s="2" t="str">
        <x:v>Day 15!A19:H19</x:v>
      </x:c>
    </x:row>
    <x:row r="227" ht="23" customHeight="1">
      <x:c r="A227" s="7" t="n">
        <x:v>46218.5</x:v>
      </x:c>
      <x:c r="B227" s="2" t="str">
        <x:v>2:05 PM</x:v>
      </x:c>
      <x:c r="C227" s="2" t="str">
        <x:v>FAKE-15-011</x:v>
      </x:c>
      <x:c r="D227" s="2" t="str">
        <x:f>Settings!$A$15</x:f>
        <x:v>Plus Package</x:v>
      </x:c>
      <x:c r="E227" s="2" t="str">
        <x:v>Completed</x:v>
      </x:c>
      <x:c r="F227" s="11" t="n">
        <x:v>1</x:v>
      </x:c>
      <x:c r="G227" s="12" t="n">
        <x:f>F227*SUMIFS(Settings!$C$14:$C$17,Settings!$A$14:$A$17,D227)</x:f>
        <x:v>1.5</x:v>
      </x:c>
      <x:c r="H227" s="2" t="str">
        <x:v>No</x:v>
      </x:c>
      <x:c r="I227" s="2" t="str">
        <x:v>Completed the fictional selection.</x:v>
      </x:c>
      <x:c r="J227" s="2" t="str">
        <x:v>Day 15!A20:H20</x:v>
      </x:c>
    </x:row>
    <x:row r="228" ht="23" customHeight="1">
      <x:c r="A228" s="7" t="n">
        <x:v>46218.5</x:v>
      </x:c>
      <x:c r="B228" s="2" t="str">
        <x:v>2:35 PM</x:v>
      </x:c>
      <x:c r="C228" s="2" t="str">
        <x:v>FAKE-15-012</x:v>
      </x:c>
      <x:c r="D228" s="2" t="str">
        <x:f>Settings!$A$14</x:f>
        <x:v>Core Package</x:v>
      </x:c>
      <x:c r="E228" s="2" t="str">
        <x:v>Follow-up</x:v>
      </x:c>
      <x:c r="F228" s="11" t="n">
        <x:v>0</x:v>
      </x:c>
      <x:c r="G228" s="12" t="n">
        <x:f>F228*SUMIFS(Settings!$C$14:$C$17,Settings!$A$14:$A$17,D228)</x:f>
        <x:v>0</x:v>
      </x:c>
      <x:c r="H228" s="2" t="str">
        <x:v>Yes</x:v>
      </x:c>
      <x:c r="I228" s="2" t="str">
        <x:v>Follow-up requested for a later date.</x:v>
      </x:c>
      <x:c r="J228" s="2" t="str">
        <x:v>Day 15!A21:H21</x:v>
      </x:c>
    </x:row>
    <x:row r="229" ht="23" customHeight="1">
      <x:c r="A229" s="7" t="n">
        <x:v>46218.5</x:v>
      </x:c>
      <x:c r="B229" s="2" t="str">
        <x:v>3:05 PM</x:v>
      </x:c>
      <x:c r="C229" s="2" t="str">
        <x:v>FAKE-15-013</x:v>
      </x:c>
      <x:c r="D229" s="2" t="str">
        <x:f>Settings!$A$17</x:f>
        <x:v>Optional Add-on</x:v>
      </x:c>
      <x:c r="E229" s="2" t="str">
        <x:v>No sale</x:v>
      </x:c>
      <x:c r="F229" s="11" t="n">
        <x:v>0</x:v>
      </x:c>
      <x:c r="G229" s="12" t="n">
        <x:f>F229*SUMIFS(Settings!$C$14:$C$17,Settings!$A$14:$A$17,D229)</x:f>
        <x:v>0</x:v>
      </x:c>
      <x:c r="H229" s="2" t="str">
        <x:v>No</x:v>
      </x:c>
      <x:c r="I229" s="2" t="str">
        <x:v>No selection made; no follow-up needed.</x:v>
      </x:c>
      <x:c r="J229" s="2" t="str">
        <x:v>Day 15!A22:H22</x:v>
      </x:c>
    </x:row>
    <x:row r="230" ht="23" customHeight="1">
      <x:c r="A230" s="7" t="n">
        <x:v>46218.5</x:v>
      </x:c>
      <x:c r="B230" s="2" t="str">
        <x:v>3:35 PM</x:v>
      </x:c>
      <x:c r="C230" s="2" t="str">
        <x:v>FAKE-15-014</x:v>
      </x:c>
      <x:c r="D230" s="2" t="str">
        <x:f>Settings!$A$16</x:f>
        <x:v>Premium Package</x:v>
      </x:c>
      <x:c r="E230" s="2" t="str">
        <x:v>Completed</x:v>
      </x:c>
      <x:c r="F230" s="11" t="n">
        <x:v>1</x:v>
      </x:c>
      <x:c r="G230" s="12" t="n">
        <x:f>F230*SUMIFS(Settings!$C$14:$C$17,Settings!$A$14:$A$17,D230)</x:f>
        <x:v>2</x:v>
      </x:c>
      <x:c r="H230" s="2" t="str">
        <x:v>No</x:v>
      </x:c>
      <x:c r="I230" s="2" t="str">
        <x:v>Completed the fictional selection.</x:v>
      </x:c>
      <x:c r="J230" s="2" t="str">
        <x:v>Day 15!A23:H23</x:v>
      </x:c>
    </x:row>
    <x:row r="231" ht="23" customHeight="1">
      <x:c r="A231" s="7" t="n">
        <x:v>46218.5</x:v>
      </x:c>
      <x:c r="B231" s="2" t="str">
        <x:v>4:05 PM</x:v>
      </x:c>
      <x:c r="C231" s="2" t="str">
        <x:v>FAKE-15-015</x:v>
      </x:c>
      <x:c r="D231" s="2" t="str">
        <x:f>Settings!$A$15</x:f>
        <x:v>Plus Package</x:v>
      </x:c>
      <x:c r="E231" s="2" t="str">
        <x:v>Completed</x:v>
      </x:c>
      <x:c r="F231" s="11" t="n">
        <x:v>1</x:v>
      </x:c>
      <x:c r="G231" s="12" t="n">
        <x:f>F231*SUMIFS(Settings!$C$14:$C$17,Settings!$A$14:$A$17,D231)</x:f>
        <x:v>1.5</x:v>
      </x:c>
      <x:c r="H231" s="2" t="str">
        <x:v>No</x:v>
      </x:c>
      <x:c r="I231" s="2" t="str">
        <x:v>Completed the fictional selection.</x:v>
      </x:c>
      <x:c r="J231" s="2" t="str">
        <x:v>Day 15!A24:H24</x:v>
      </x:c>
    </x:row>
    <x:row r="232" ht="23" customHeight="1">
      <x:c r="A232" s="7" t="n">
        <x:v>46218.5</x:v>
      </x:c>
      <x:c r="B232" s="2" t="str">
        <x:v>4:35 PM</x:v>
      </x:c>
      <x:c r="C232" s="2" t="str">
        <x:v>FAKE-15-016</x:v>
      </x:c>
      <x:c r="D232" s="2" t="str">
        <x:f>Settings!$A$14</x:f>
        <x:v>Core Package</x:v>
      </x:c>
      <x:c r="E232" s="2" t="str">
        <x:v>Completed</x:v>
      </x:c>
      <x:c r="F232" s="11" t="n">
        <x:v>1</x:v>
      </x:c>
      <x:c r="G232" s="12" t="n">
        <x:f>F232*SUMIFS(Settings!$C$14:$C$17,Settings!$A$14:$A$17,D232)</x:f>
        <x:v>1</x:v>
      </x:c>
      <x:c r="H232" s="2" t="str">
        <x:v>No</x:v>
      </x:c>
      <x:c r="I232" s="2" t="str">
        <x:v>Completed the fictional selection.</x:v>
      </x:c>
      <x:c r="J232" s="2" t="str">
        <x:v>Day 15!A25:H25</x:v>
      </x:c>
    </x:row>
    <x:row r="233" ht="23" customHeight="1">
      <x:c r="A233" s="7" t="n">
        <x:v>46218.5</x:v>
      </x:c>
      <x:c r="B233" s="2" t="str">
        <x:v>5:05 PM</x:v>
      </x:c>
      <x:c r="C233" s="2" t="str">
        <x:v>FAKE-15-017</x:v>
      </x:c>
      <x:c r="D233" s="2" t="str">
        <x:f>Settings!$A$17</x:f>
        <x:v>Optional Add-on</x:v>
      </x:c>
      <x:c r="E233" s="2" t="str">
        <x:v>Follow-up</x:v>
      </x:c>
      <x:c r="F233" s="11" t="n">
        <x:v>0</x:v>
      </x:c>
      <x:c r="G233" s="12" t="n">
        <x:f>F233*SUMIFS(Settings!$C$14:$C$17,Settings!$A$14:$A$17,D233)</x:f>
        <x:v>0</x:v>
      </x:c>
      <x:c r="H233" s="2" t="str">
        <x:v>Yes</x:v>
      </x:c>
      <x:c r="I233" s="2" t="str">
        <x:v>Follow-up requested for a later date.</x:v>
      </x:c>
      <x:c r="J233" s="2" t="str">
        <x:v>Day 15!A26:H26</x:v>
      </x:c>
    </x:row>
    <x:row r="234" ht="23" customHeight="1">
      <x:c r="A234" s="7" t="n">
        <x:v>46219.5</x:v>
      </x:c>
      <x:c r="B234" s="2" t="str">
        <x:v>9:05 AM</x:v>
      </x:c>
      <x:c r="C234" s="2" t="str">
        <x:v>FAKE-16-001</x:v>
      </x:c>
      <x:c r="D234" s="2" t="str">
        <x:f>Settings!$A$14</x:f>
        <x:v>Core Package</x:v>
      </x:c>
      <x:c r="E234" s="2" t="str">
        <x:v>No sale</x:v>
      </x:c>
      <x:c r="F234" s="11" t="n">
        <x:v>0</x:v>
      </x:c>
      <x:c r="G234" s="12" t="n">
        <x:f>F234*SUMIFS(Settings!$C$14:$C$17,Settings!$A$14:$A$17,D234)</x:f>
        <x:v>0</x:v>
      </x:c>
      <x:c r="H234" s="2" t="str">
        <x:v>No</x:v>
      </x:c>
      <x:c r="I234" s="2" t="str">
        <x:v>No selection made; no follow-up needed.</x:v>
      </x:c>
      <x:c r="J234" s="2" t="str">
        <x:v>Day 16!A10:H10</x:v>
      </x:c>
    </x:row>
    <x:row r="235" ht="23" customHeight="1">
      <x:c r="A235" s="7" t="n">
        <x:v>46219.5</x:v>
      </x:c>
      <x:c r="B235" s="2" t="str">
        <x:v>9:35 AM</x:v>
      </x:c>
      <x:c r="C235" s="2" t="str">
        <x:v>FAKE-16-002</x:v>
      </x:c>
      <x:c r="D235" s="2" t="str">
        <x:f>Settings!$A$17</x:f>
        <x:v>Optional Add-on</x:v>
      </x:c>
      <x:c r="E235" s="2" t="str">
        <x:v>Completed</x:v>
      </x:c>
      <x:c r="F235" s="11" t="n">
        <x:v>2</x:v>
      </x:c>
      <x:c r="G235" s="12" t="n">
        <x:f>F235*SUMIFS(Settings!$C$14:$C$17,Settings!$A$14:$A$17,D235)</x:f>
        <x:v>1</x:v>
      </x:c>
      <x:c r="H235" s="2" t="str">
        <x:v>No</x:v>
      </x:c>
      <x:c r="I235" s="2" t="str">
        <x:v>Completed the fictional selection.</x:v>
      </x:c>
      <x:c r="J235" s="2" t="str">
        <x:v>Day 16!A11:H11</x:v>
      </x:c>
    </x:row>
    <x:row r="236" ht="23" customHeight="1">
      <x:c r="A236" s="7" t="n">
        <x:v>46219.5</x:v>
      </x:c>
      <x:c r="B236" s="2" t="str">
        <x:v>10:05 AM</x:v>
      </x:c>
      <x:c r="C236" s="2" t="str">
        <x:v>FAKE-16-003</x:v>
      </x:c>
      <x:c r="D236" s="2" t="str">
        <x:f>Settings!$A$16</x:f>
        <x:v>Premium Package</x:v>
      </x:c>
      <x:c r="E236" s="2" t="str">
        <x:v>Completed</x:v>
      </x:c>
      <x:c r="F236" s="11" t="n">
        <x:v>1</x:v>
      </x:c>
      <x:c r="G236" s="12" t="n">
        <x:f>F236*SUMIFS(Settings!$C$14:$C$17,Settings!$A$14:$A$17,D236)</x:f>
        <x:v>2</x:v>
      </x:c>
      <x:c r="H236" s="2" t="str">
        <x:v>No</x:v>
      </x:c>
      <x:c r="I236" s="2" t="str">
        <x:v>Completed the fictional selection.</x:v>
      </x:c>
      <x:c r="J236" s="2" t="str">
        <x:v>Day 16!A12:H12</x:v>
      </x:c>
    </x:row>
    <x:row r="237" ht="23" customHeight="1">
      <x:c r="A237" s="7" t="n">
        <x:v>46219.5</x:v>
      </x:c>
      <x:c r="B237" s="2" t="str">
        <x:v>10:35 AM</x:v>
      </x:c>
      <x:c r="C237" s="2" t="str">
        <x:v>FAKE-16-004</x:v>
      </x:c>
      <x:c r="D237" s="2" t="str">
        <x:f>Settings!$A$15</x:f>
        <x:v>Plus Package</x:v>
      </x:c>
      <x:c r="E237" s="2" t="str">
        <x:v>Completed</x:v>
      </x:c>
      <x:c r="F237" s="11" t="n">
        <x:v>1</x:v>
      </x:c>
      <x:c r="G237" s="12" t="n">
        <x:f>F237*SUMIFS(Settings!$C$14:$C$17,Settings!$A$14:$A$17,D237)</x:f>
        <x:v>1.5</x:v>
      </x:c>
      <x:c r="H237" s="2" t="str">
        <x:v>No</x:v>
      </x:c>
      <x:c r="I237" s="2" t="str">
        <x:v>Completed the fictional selection.</x:v>
      </x:c>
      <x:c r="J237" s="2" t="str">
        <x:v>Day 16!A13:H13</x:v>
      </x:c>
    </x:row>
    <x:row r="238" ht="23" customHeight="1">
      <x:c r="A238" s="7" t="n">
        <x:v>46219.5</x:v>
      </x:c>
      <x:c r="B238" s="2" t="str">
        <x:v>11:05 AM</x:v>
      </x:c>
      <x:c r="C238" s="2" t="str">
        <x:v>FAKE-16-005</x:v>
      </x:c>
      <x:c r="D238" s="2" t="str">
        <x:f>Settings!$A$14</x:f>
        <x:v>Core Package</x:v>
      </x:c>
      <x:c r="E238" s="2" t="str">
        <x:v>Follow-up</x:v>
      </x:c>
      <x:c r="F238" s="11" t="n">
        <x:v>0</x:v>
      </x:c>
      <x:c r="G238" s="12" t="n">
        <x:f>F238*SUMIFS(Settings!$C$14:$C$17,Settings!$A$14:$A$17,D238)</x:f>
        <x:v>0</x:v>
      </x:c>
      <x:c r="H238" s="2" t="str">
        <x:v>Yes</x:v>
      </x:c>
      <x:c r="I238" s="2" t="str">
        <x:v>Follow-up requested for a later date.</x:v>
      </x:c>
      <x:c r="J238" s="2" t="str">
        <x:v>Day 16!A14:H14</x:v>
      </x:c>
    </x:row>
    <x:row r="239" ht="23" customHeight="1">
      <x:c r="A239" s="7" t="n">
        <x:v>46219.5</x:v>
      </x:c>
      <x:c r="B239" s="2" t="str">
        <x:v>11:35 AM</x:v>
      </x:c>
      <x:c r="C239" s="2" t="str">
        <x:v>FAKE-16-006</x:v>
      </x:c>
      <x:c r="D239" s="2" t="str">
        <x:f>Settings!$A$17</x:f>
        <x:v>Optional Add-on</x:v>
      </x:c>
      <x:c r="E239" s="2" t="str">
        <x:v>No sale</x:v>
      </x:c>
      <x:c r="F239" s="11" t="n">
        <x:v>0</x:v>
      </x:c>
      <x:c r="G239" s="12" t="n">
        <x:f>F239*SUMIFS(Settings!$C$14:$C$17,Settings!$A$14:$A$17,D239)</x:f>
        <x:v>0</x:v>
      </x:c>
      <x:c r="H239" s="2" t="str">
        <x:v>No</x:v>
      </x:c>
      <x:c r="I239" s="2" t="str">
        <x:v>No selection made; no follow-up needed.</x:v>
      </x:c>
      <x:c r="J239" s="2" t="str">
        <x:v>Day 16!A15:H15</x:v>
      </x:c>
    </x:row>
    <x:row r="240" ht="23" customHeight="1">
      <x:c r="A240" s="7" t="n">
        <x:v>46219.5</x:v>
      </x:c>
      <x:c r="B240" s="2" t="str">
        <x:v>12:05 PM</x:v>
      </x:c>
      <x:c r="C240" s="2" t="str">
        <x:v>FAKE-16-007</x:v>
      </x:c>
      <x:c r="D240" s="2" t="str">
        <x:f>Settings!$A$16</x:f>
        <x:v>Premium Package</x:v>
      </x:c>
      <x:c r="E240" s="2" t="str">
        <x:v>Completed</x:v>
      </x:c>
      <x:c r="F240" s="11" t="n">
        <x:v>2</x:v>
      </x:c>
      <x:c r="G240" s="12" t="n">
        <x:f>F240*SUMIFS(Settings!$C$14:$C$17,Settings!$A$14:$A$17,D240)</x:f>
        <x:v>4</x:v>
      </x:c>
      <x:c r="H240" s="2" t="str">
        <x:v>No</x:v>
      </x:c>
      <x:c r="I240" s="2" t="str">
        <x:v>Completed the fictional selection.</x:v>
      </x:c>
      <x:c r="J240" s="2" t="str">
        <x:v>Day 16!A16:H16</x:v>
      </x:c>
    </x:row>
    <x:row r="241" ht="23" customHeight="1">
      <x:c r="A241" s="7" t="n">
        <x:v>46219.5</x:v>
      </x:c>
      <x:c r="B241" s="2" t="str">
        <x:v>12:35 PM</x:v>
      </x:c>
      <x:c r="C241" s="2" t="str">
        <x:v>FAKE-16-008</x:v>
      </x:c>
      <x:c r="D241" s="2" t="str">
        <x:f>Settings!$A$15</x:f>
        <x:v>Plus Package</x:v>
      </x:c>
      <x:c r="E241" s="2" t="str">
        <x:v>Completed</x:v>
      </x:c>
      <x:c r="F241" s="11" t="n">
        <x:v>1</x:v>
      </x:c>
      <x:c r="G241" s="12" t="n">
        <x:f>F241*SUMIFS(Settings!$C$14:$C$17,Settings!$A$14:$A$17,D241)</x:f>
        <x:v>1.5</x:v>
      </x:c>
      <x:c r="H241" s="2" t="str">
        <x:v>No</x:v>
      </x:c>
      <x:c r="I241" s="2" t="str">
        <x:v>Completed the fictional selection.</x:v>
      </x:c>
      <x:c r="J241" s="2" t="str">
        <x:v>Day 16!A17:H17</x:v>
      </x:c>
    </x:row>
    <x:row r="242" ht="23" customHeight="1">
      <x:c r="A242" s="7" t="n">
        <x:v>46219.5</x:v>
      </x:c>
      <x:c r="B242" s="2" t="str">
        <x:v>1:05 PM</x:v>
      </x:c>
      <x:c r="C242" s="2" t="str">
        <x:v>FAKE-16-009</x:v>
      </x:c>
      <x:c r="D242" s="2" t="str">
        <x:f>Settings!$A$14</x:f>
        <x:v>Core Package</x:v>
      </x:c>
      <x:c r="E242" s="2" t="str">
        <x:v>Completed</x:v>
      </x:c>
      <x:c r="F242" s="11" t="n">
        <x:v>1</x:v>
      </x:c>
      <x:c r="G242" s="12" t="n">
        <x:f>F242*SUMIFS(Settings!$C$14:$C$17,Settings!$A$14:$A$17,D242)</x:f>
        <x:v>1</x:v>
      </x:c>
      <x:c r="H242" s="2" t="str">
        <x:v>No</x:v>
      </x:c>
      <x:c r="I242" s="2" t="str">
        <x:v>Completed the fictional selection.</x:v>
      </x:c>
      <x:c r="J242" s="2" t="str">
        <x:v>Day 16!A18:H18</x:v>
      </x:c>
    </x:row>
    <x:row r="243" ht="23" customHeight="1">
      <x:c r="A243" s="7" t="n">
        <x:v>46219.5</x:v>
      </x:c>
      <x:c r="B243" s="2" t="str">
        <x:v>1:35 PM</x:v>
      </x:c>
      <x:c r="C243" s="2" t="str">
        <x:v>FAKE-16-010</x:v>
      </x:c>
      <x:c r="D243" s="2" t="str">
        <x:f>Settings!$A$17</x:f>
        <x:v>Optional Add-on</x:v>
      </x:c>
      <x:c r="E243" s="2" t="str">
        <x:v>Follow-up</x:v>
      </x:c>
      <x:c r="F243" s="11" t="n">
        <x:v>0</x:v>
      </x:c>
      <x:c r="G243" s="12" t="n">
        <x:f>F243*SUMIFS(Settings!$C$14:$C$17,Settings!$A$14:$A$17,D243)</x:f>
        <x:v>0</x:v>
      </x:c>
      <x:c r="H243" s="2" t="str">
        <x:v>Yes</x:v>
      </x:c>
      <x:c r="I243" s="2" t="str">
        <x:v>Follow-up requested for a later date.</x:v>
      </x:c>
      <x:c r="J243" s="2" t="str">
        <x:v>Day 16!A19:H19</x:v>
      </x:c>
    </x:row>
    <x:row r="244" ht="23" customHeight="1">
      <x:c r="A244" s="7" t="n">
        <x:v>46219.5</x:v>
      </x:c>
      <x:c r="B244" s="2" t="str">
        <x:v>2:05 PM</x:v>
      </x:c>
      <x:c r="C244" s="2" t="str">
        <x:v>FAKE-16-011</x:v>
      </x:c>
      <x:c r="D244" s="2" t="str">
        <x:f>Settings!$A$16</x:f>
        <x:v>Premium Package</x:v>
      </x:c>
      <x:c r="E244" s="2" t="str">
        <x:v>No sale</x:v>
      </x:c>
      <x:c r="F244" s="11" t="n">
        <x:v>0</x:v>
      </x:c>
      <x:c r="G244" s="12" t="n">
        <x:f>F244*SUMIFS(Settings!$C$14:$C$17,Settings!$A$14:$A$17,D244)</x:f>
        <x:v>0</x:v>
      </x:c>
      <x:c r="H244" s="2" t="str">
        <x:v>No</x:v>
      </x:c>
      <x:c r="I244" s="2" t="str">
        <x:v>No selection made; no follow-up needed.</x:v>
      </x:c>
      <x:c r="J244" s="2" t="str">
        <x:v>Day 16!A20:H20</x:v>
      </x:c>
    </x:row>
    <x:row r="245" ht="23" customHeight="1">
      <x:c r="A245" s="7" t="n">
        <x:v>46219.5</x:v>
      </x:c>
      <x:c r="B245" s="2" t="str">
        <x:v>2:35 PM</x:v>
      </x:c>
      <x:c r="C245" s="2" t="str">
        <x:v>FAKE-16-012</x:v>
      </x:c>
      <x:c r="D245" s="2" t="str">
        <x:f>Settings!$A$15</x:f>
        <x:v>Plus Package</x:v>
      </x:c>
      <x:c r="E245" s="2" t="str">
        <x:v>Completed</x:v>
      </x:c>
      <x:c r="F245" s="11" t="n">
        <x:v>2</x:v>
      </x:c>
      <x:c r="G245" s="12" t="n">
        <x:f>F245*SUMIFS(Settings!$C$14:$C$17,Settings!$A$14:$A$17,D245)</x:f>
        <x:v>3</x:v>
      </x:c>
      <x:c r="H245" s="2" t="str">
        <x:v>No</x:v>
      </x:c>
      <x:c r="I245" s="2" t="str">
        <x:v>Completed the fictional selection.</x:v>
      </x:c>
      <x:c r="J245" s="2" t="str">
        <x:v>Day 16!A21:H21</x:v>
      </x:c>
    </x:row>
    <x:row r="246" ht="23" customHeight="1">
      <x:c r="A246" s="7" t="n">
        <x:v>46219.5</x:v>
      </x:c>
      <x:c r="B246" s="2" t="str">
        <x:v>3:05 PM</x:v>
      </x:c>
      <x:c r="C246" s="2" t="str">
        <x:v>FAKE-16-013</x:v>
      </x:c>
      <x:c r="D246" s="2" t="str">
        <x:f>Settings!$A$14</x:f>
        <x:v>Core Package</x:v>
      </x:c>
      <x:c r="E246" s="2" t="str">
        <x:v>Completed</x:v>
      </x:c>
      <x:c r="F246" s="11" t="n">
        <x:v>1</x:v>
      </x:c>
      <x:c r="G246" s="12" t="n">
        <x:f>F246*SUMIFS(Settings!$C$14:$C$17,Settings!$A$14:$A$17,D246)</x:f>
        <x:v>1</x:v>
      </x:c>
      <x:c r="H246" s="2" t="str">
        <x:v>No</x:v>
      </x:c>
      <x:c r="I246" s="2" t="str">
        <x:v>Completed the fictional selection.</x:v>
      </x:c>
      <x:c r="J246" s="2" t="str">
        <x:v>Day 16!A22:H22</x:v>
      </x:c>
    </x:row>
    <x:row r="247" ht="23" customHeight="1">
      <x:c r="A247" s="7" t="n">
        <x:v>46219.5</x:v>
      </x:c>
      <x:c r="B247" s="2" t="str">
        <x:v>3:35 PM</x:v>
      </x:c>
      <x:c r="C247" s="2" t="str">
        <x:v>FAKE-16-014</x:v>
      </x:c>
      <x:c r="D247" s="2" t="str">
        <x:f>Settings!$A$17</x:f>
        <x:v>Optional Add-on</x:v>
      </x:c>
      <x:c r="E247" s="2" t="str">
        <x:v>Completed</x:v>
      </x:c>
      <x:c r="F247" s="11" t="n">
        <x:v>1</x:v>
      </x:c>
      <x:c r="G247" s="12" t="n">
        <x:f>F247*SUMIFS(Settings!$C$14:$C$17,Settings!$A$14:$A$17,D247)</x:f>
        <x:v>0.5</x:v>
      </x:c>
      <x:c r="H247" s="2" t="str">
        <x:v>No</x:v>
      </x:c>
      <x:c r="I247" s="2" t="str">
        <x:v>Completed the fictional selection.</x:v>
      </x:c>
      <x:c r="J247" s="2" t="str">
        <x:v>Day 16!A23:H23</x:v>
      </x:c>
    </x:row>
    <x:row r="248" ht="23" customHeight="1">
      <x:c r="A248" s="7" t="n">
        <x:v>46219.5</x:v>
      </x:c>
      <x:c r="B248" s="2" t="str">
        <x:v>4:05 PM</x:v>
      </x:c>
      <x:c r="C248" s="2" t="str">
        <x:v>FAKE-16-015</x:v>
      </x:c>
      <x:c r="D248" s="2" t="str">
        <x:f>Settings!$A$16</x:f>
        <x:v>Premium Package</x:v>
      </x:c>
      <x:c r="E248" s="2" t="str">
        <x:v>Follow-up</x:v>
      </x:c>
      <x:c r="F248" s="11" t="n">
        <x:v>0</x:v>
      </x:c>
      <x:c r="G248" s="12" t="n">
        <x:f>F248*SUMIFS(Settings!$C$14:$C$17,Settings!$A$14:$A$17,D248)</x:f>
        <x:v>0</x:v>
      </x:c>
      <x:c r="H248" s="2" t="str">
        <x:v>Yes</x:v>
      </x:c>
      <x:c r="I248" s="2" t="str">
        <x:v>Follow-up requested for a later date.</x:v>
      </x:c>
      <x:c r="J248" s="2" t="str">
        <x:v>Day 16!A24:H24</x:v>
      </x:c>
    </x:row>
    <x:row r="249" ht="23" customHeight="1">
      <x:c r="A249" s="7" t="n">
        <x:v>46220.5</x:v>
      </x:c>
      <x:c r="B249" s="2" t="str">
        <x:v>9:05 AM</x:v>
      </x:c>
      <x:c r="C249" s="2" t="str">
        <x:v>FAKE-17-001</x:v>
      </x:c>
      <x:c r="D249" s="2" t="str">
        <x:f>Settings!$A$15</x:f>
        <x:v>Plus Package</x:v>
      </x:c>
      <x:c r="E249" s="2" t="str">
        <x:v>Completed</x:v>
      </x:c>
      <x:c r="F249" s="11" t="n">
        <x:v>1</x:v>
      </x:c>
      <x:c r="G249" s="12" t="n">
        <x:f>F249*SUMIFS(Settings!$C$14:$C$17,Settings!$A$14:$A$17,D249)</x:f>
        <x:v>1.5</x:v>
      </x:c>
      <x:c r="H249" s="2" t="str">
        <x:v>No</x:v>
      </x:c>
      <x:c r="I249" s="2" t="str">
        <x:v>Completed the fictional selection.</x:v>
      </x:c>
      <x:c r="J249" s="2" t="str">
        <x:v>Day 17!A10:H10</x:v>
      </x:c>
    </x:row>
    <x:row r="250" ht="23" customHeight="1">
      <x:c r="A250" s="7" t="n">
        <x:v>46220.5</x:v>
      </x:c>
      <x:c r="B250" s="2" t="str">
        <x:v>9:35 AM</x:v>
      </x:c>
      <x:c r="C250" s="2" t="str">
        <x:v>FAKE-17-002</x:v>
      </x:c>
      <x:c r="D250" s="2" t="str">
        <x:f>Settings!$A$14</x:f>
        <x:v>Core Package</x:v>
      </x:c>
      <x:c r="E250" s="2" t="str">
        <x:v>Completed</x:v>
      </x:c>
      <x:c r="F250" s="11" t="n">
        <x:v>1</x:v>
      </x:c>
      <x:c r="G250" s="12" t="n">
        <x:f>F250*SUMIFS(Settings!$C$14:$C$17,Settings!$A$14:$A$17,D250)</x:f>
        <x:v>1</x:v>
      </x:c>
      <x:c r="H250" s="2" t="str">
        <x:v>No</x:v>
      </x:c>
      <x:c r="I250" s="2" t="str">
        <x:v>Completed the fictional selection.</x:v>
      </x:c>
      <x:c r="J250" s="2" t="str">
        <x:v>Day 17!A11:H11</x:v>
      </x:c>
    </x:row>
    <x:row r="251" ht="23" customHeight="1">
      <x:c r="A251" s="7" t="n">
        <x:v>46220.5</x:v>
      </x:c>
      <x:c r="B251" s="2" t="str">
        <x:v>10:05 AM</x:v>
      </x:c>
      <x:c r="C251" s="2" t="str">
        <x:v>FAKE-17-003</x:v>
      </x:c>
      <x:c r="D251" s="2" t="str">
        <x:f>Settings!$A$17</x:f>
        <x:v>Optional Add-on</x:v>
      </x:c>
      <x:c r="E251" s="2" t="str">
        <x:v>Completed</x:v>
      </x:c>
      <x:c r="F251" s="11" t="n">
        <x:v>1</x:v>
      </x:c>
      <x:c r="G251" s="12" t="n">
        <x:f>F251*SUMIFS(Settings!$C$14:$C$17,Settings!$A$14:$A$17,D251)</x:f>
        <x:v>0.5</x:v>
      </x:c>
      <x:c r="H251" s="2" t="str">
        <x:v>No</x:v>
      </x:c>
      <x:c r="I251" s="2" t="str">
        <x:v>Completed the fictional selection.</x:v>
      </x:c>
      <x:c r="J251" s="2" t="str">
        <x:v>Day 17!A12:H12</x:v>
      </x:c>
    </x:row>
    <x:row r="252" ht="23" customHeight="1">
      <x:c r="A252" s="7" t="n">
        <x:v>46220.5</x:v>
      </x:c>
      <x:c r="B252" s="2" t="str">
        <x:v>10:35 AM</x:v>
      </x:c>
      <x:c r="C252" s="2" t="str">
        <x:v>FAKE-17-004</x:v>
      </x:c>
      <x:c r="D252" s="2" t="str">
        <x:f>Settings!$A$16</x:f>
        <x:v>Premium Package</x:v>
      </x:c>
      <x:c r="E252" s="2" t="str">
        <x:v>Follow-up</x:v>
      </x:c>
      <x:c r="F252" s="11" t="n">
        <x:v>0</x:v>
      </x:c>
      <x:c r="G252" s="12" t="n">
        <x:f>F252*SUMIFS(Settings!$C$14:$C$17,Settings!$A$14:$A$17,D252)</x:f>
        <x:v>0</x:v>
      </x:c>
      <x:c r="H252" s="2" t="str">
        <x:v>Yes</x:v>
      </x:c>
      <x:c r="I252" s="2" t="str">
        <x:v>Follow-up requested for a later date.</x:v>
      </x:c>
      <x:c r="J252" s="2" t="str">
        <x:v>Day 17!A13:H13</x:v>
      </x:c>
    </x:row>
    <x:row r="253" ht="23" customHeight="1">
      <x:c r="A253" s="7" t="n">
        <x:v>46220.5</x:v>
      </x:c>
      <x:c r="B253" s="2" t="str">
        <x:v>11:05 AM</x:v>
      </x:c>
      <x:c r="C253" s="2" t="str">
        <x:v>FAKE-17-005</x:v>
      </x:c>
      <x:c r="D253" s="2" t="str">
        <x:f>Settings!$A$15</x:f>
        <x:v>Plus Package</x:v>
      </x:c>
      <x:c r="E253" s="2" t="str">
        <x:v>No sale</x:v>
      </x:c>
      <x:c r="F253" s="11" t="n">
        <x:v>0</x:v>
      </x:c>
      <x:c r="G253" s="12" t="n">
        <x:f>F253*SUMIFS(Settings!$C$14:$C$17,Settings!$A$14:$A$17,D253)</x:f>
        <x:v>0</x:v>
      </x:c>
      <x:c r="H253" s="2" t="str">
        <x:v>No</x:v>
      </x:c>
      <x:c r="I253" s="2" t="str">
        <x:v>No selection made; no follow-up needed.</x:v>
      </x:c>
      <x:c r="J253" s="2" t="str">
        <x:v>Day 17!A14:H14</x:v>
      </x:c>
    </x:row>
    <x:row r="254" ht="23" customHeight="1">
      <x:c r="A254" s="7" t="n">
        <x:v>46220.5</x:v>
      </x:c>
      <x:c r="B254" s="2" t="str">
        <x:v>11:35 AM</x:v>
      </x:c>
      <x:c r="C254" s="2" t="str">
        <x:v>FAKE-17-006</x:v>
      </x:c>
      <x:c r="D254" s="2" t="str">
        <x:f>Settings!$A$14</x:f>
        <x:v>Core Package</x:v>
      </x:c>
      <x:c r="E254" s="2" t="str">
        <x:v>Completed</x:v>
      </x:c>
      <x:c r="F254" s="11" t="n">
        <x:v>1</x:v>
      </x:c>
      <x:c r="G254" s="12" t="n">
        <x:f>F254*SUMIFS(Settings!$C$14:$C$17,Settings!$A$14:$A$17,D254)</x:f>
        <x:v>1</x:v>
      </x:c>
      <x:c r="H254" s="2" t="str">
        <x:v>No</x:v>
      </x:c>
      <x:c r="I254" s="2" t="str">
        <x:v>Completed the fictional selection.</x:v>
      </x:c>
      <x:c r="J254" s="2" t="str">
        <x:v>Day 17!A15:H15</x:v>
      </x:c>
    </x:row>
    <x:row r="255" ht="23" customHeight="1">
      <x:c r="A255" s="7" t="n">
        <x:v>46220.5</x:v>
      </x:c>
      <x:c r="B255" s="2" t="str">
        <x:v>12:05 PM</x:v>
      </x:c>
      <x:c r="C255" s="2" t="str">
        <x:v>FAKE-17-007</x:v>
      </x:c>
      <x:c r="D255" s="2" t="str">
        <x:f>Settings!$A$17</x:f>
        <x:v>Optional Add-on</x:v>
      </x:c>
      <x:c r="E255" s="2" t="str">
        <x:v>Completed</x:v>
      </x:c>
      <x:c r="F255" s="11" t="n">
        <x:v>1</x:v>
      </x:c>
      <x:c r="G255" s="12" t="n">
        <x:f>F255*SUMIFS(Settings!$C$14:$C$17,Settings!$A$14:$A$17,D255)</x:f>
        <x:v>0.5</x:v>
      </x:c>
      <x:c r="H255" s="2" t="str">
        <x:v>No</x:v>
      </x:c>
      <x:c r="I255" s="2" t="str">
        <x:v>Completed the fictional selection.</x:v>
      </x:c>
      <x:c r="J255" s="2" t="str">
        <x:v>Day 17!A16:H16</x:v>
      </x:c>
    </x:row>
    <x:row r="256" ht="23" customHeight="1">
      <x:c r="A256" s="7" t="n">
        <x:v>46220.5</x:v>
      </x:c>
      <x:c r="B256" s="2" t="str">
        <x:v>12:35 PM</x:v>
      </x:c>
      <x:c r="C256" s="2" t="str">
        <x:v>FAKE-17-008</x:v>
      </x:c>
      <x:c r="D256" s="2" t="str">
        <x:f>Settings!$A$16</x:f>
        <x:v>Premium Package</x:v>
      </x:c>
      <x:c r="E256" s="2" t="str">
        <x:v>Completed</x:v>
      </x:c>
      <x:c r="F256" s="11" t="n">
        <x:v>1</x:v>
      </x:c>
      <x:c r="G256" s="12" t="n">
        <x:f>F256*SUMIFS(Settings!$C$14:$C$17,Settings!$A$14:$A$17,D256)</x:f>
        <x:v>2</x:v>
      </x:c>
      <x:c r="H256" s="2" t="str">
        <x:v>No</x:v>
      </x:c>
      <x:c r="I256" s="2" t="str">
        <x:v>Completed the fictional selection.</x:v>
      </x:c>
      <x:c r="J256" s="2" t="str">
        <x:v>Day 17!A17:H17</x:v>
      </x:c>
    </x:row>
    <x:row r="257" ht="23" customHeight="1">
      <x:c r="A257" s="7" t="n">
        <x:v>46220.5</x:v>
      </x:c>
      <x:c r="B257" s="2" t="str">
        <x:v>1:05 PM</x:v>
      </x:c>
      <x:c r="C257" s="2" t="str">
        <x:v>FAKE-17-009</x:v>
      </x:c>
      <x:c r="D257" s="2" t="str">
        <x:f>Settings!$A$15</x:f>
        <x:v>Plus Package</x:v>
      </x:c>
      <x:c r="E257" s="2" t="str">
        <x:v>Follow-up</x:v>
      </x:c>
      <x:c r="F257" s="11" t="n">
        <x:v>0</x:v>
      </x:c>
      <x:c r="G257" s="12" t="n">
        <x:f>F257*SUMIFS(Settings!$C$14:$C$17,Settings!$A$14:$A$17,D257)</x:f>
        <x:v>0</x:v>
      </x:c>
      <x:c r="H257" s="2" t="str">
        <x:v>Yes</x:v>
      </x:c>
      <x:c r="I257" s="2" t="str">
        <x:v>Follow-up requested for a later date.</x:v>
      </x:c>
      <x:c r="J257" s="2" t="str">
        <x:v>Day 17!A18:H18</x:v>
      </x:c>
    </x:row>
    <x:row r="258" ht="23" customHeight="1">
      <x:c r="A258" s="7" t="n">
        <x:v>46220.5</x:v>
      </x:c>
      <x:c r="B258" s="2" t="str">
        <x:v>1:35 PM</x:v>
      </x:c>
      <x:c r="C258" s="2" t="str">
        <x:v>FAKE-17-010</x:v>
      </x:c>
      <x:c r="D258" s="2" t="str">
        <x:f>Settings!$A$14</x:f>
        <x:v>Core Package</x:v>
      </x:c>
      <x:c r="E258" s="2" t="str">
        <x:v>No sale</x:v>
      </x:c>
      <x:c r="F258" s="11" t="n">
        <x:v>0</x:v>
      </x:c>
      <x:c r="G258" s="12" t="n">
        <x:f>F258*SUMIFS(Settings!$C$14:$C$17,Settings!$A$14:$A$17,D258)</x:f>
        <x:v>0</x:v>
      </x:c>
      <x:c r="H258" s="2" t="str">
        <x:v>No</x:v>
      </x:c>
      <x:c r="I258" s="2" t="str">
        <x:v>No selection made; no follow-up needed.</x:v>
      </x:c>
      <x:c r="J258" s="2" t="str">
        <x:v>Day 17!A19:H19</x:v>
      </x:c>
    </x:row>
    <x:row r="259" ht="23" customHeight="1">
      <x:c r="A259" s="7" t="n">
        <x:v>46220.5</x:v>
      </x:c>
      <x:c r="B259" s="2" t="str">
        <x:v>2:05 PM</x:v>
      </x:c>
      <x:c r="C259" s="2" t="str">
        <x:v>FAKE-17-011</x:v>
      </x:c>
      <x:c r="D259" s="2" t="str">
        <x:f>Settings!$A$17</x:f>
        <x:v>Optional Add-on</x:v>
      </x:c>
      <x:c r="E259" s="2" t="str">
        <x:v>Completed</x:v>
      </x:c>
      <x:c r="F259" s="11" t="n">
        <x:v>1</x:v>
      </x:c>
      <x:c r="G259" s="12" t="n">
        <x:f>F259*SUMIFS(Settings!$C$14:$C$17,Settings!$A$14:$A$17,D259)</x:f>
        <x:v>0.5</x:v>
      </x:c>
      <x:c r="H259" s="2" t="str">
        <x:v>No</x:v>
      </x:c>
      <x:c r="I259" s="2" t="str">
        <x:v>Completed the fictional selection.</x:v>
      </x:c>
      <x:c r="J259" s="2" t="str">
        <x:v>Day 17!A20:H20</x:v>
      </x:c>
    </x:row>
    <x:row r="260" ht="23" customHeight="1">
      <x:c r="A260" s="7" t="n">
        <x:v>46220.5</x:v>
      </x:c>
      <x:c r="B260" s="2" t="str">
        <x:v>2:35 PM</x:v>
      </x:c>
      <x:c r="C260" s="2" t="str">
        <x:v>FAKE-17-012</x:v>
      </x:c>
      <x:c r="D260" s="2" t="str">
        <x:f>Settings!$A$16</x:f>
        <x:v>Premium Package</x:v>
      </x:c>
      <x:c r="E260" s="2" t="str">
        <x:v>Completed</x:v>
      </x:c>
      <x:c r="F260" s="11" t="n">
        <x:v>1</x:v>
      </x:c>
      <x:c r="G260" s="12" t="n">
        <x:f>F260*SUMIFS(Settings!$C$14:$C$17,Settings!$A$14:$A$17,D260)</x:f>
        <x:v>2</x:v>
      </x:c>
      <x:c r="H260" s="2" t="str">
        <x:v>No</x:v>
      </x:c>
      <x:c r="I260" s="2" t="str">
        <x:v>Completed the fictional selection.</x:v>
      </x:c>
      <x:c r="J260" s="2" t="str">
        <x:v>Day 17!A21:H21</x:v>
      </x:c>
    </x:row>
    <x:row r="261" ht="23" customHeight="1">
      <x:c r="A261" s="7" t="n">
        <x:v>46220.5</x:v>
      </x:c>
      <x:c r="B261" s="2" t="str">
        <x:v>3:05 PM</x:v>
      </x:c>
      <x:c r="C261" s="2" t="str">
        <x:v>FAKE-17-013</x:v>
      </x:c>
      <x:c r="D261" s="2" t="str">
        <x:f>Settings!$A$15</x:f>
        <x:v>Plus Package</x:v>
      </x:c>
      <x:c r="E261" s="2" t="str">
        <x:v>Completed</x:v>
      </x:c>
      <x:c r="F261" s="11" t="n">
        <x:v>1</x:v>
      </x:c>
      <x:c r="G261" s="12" t="n">
        <x:f>F261*SUMIFS(Settings!$C$14:$C$17,Settings!$A$14:$A$17,D261)</x:f>
        <x:v>1.5</x:v>
      </x:c>
      <x:c r="H261" s="2" t="str">
        <x:v>No</x:v>
      </x:c>
      <x:c r="I261" s="2" t="str">
        <x:v>Completed the fictional selection.</x:v>
      </x:c>
      <x:c r="J261" s="2" t="str">
        <x:v>Day 17!A22:H22</x:v>
      </x:c>
    </x:row>
    <x:row r="262" ht="23" customHeight="1">
      <x:c r="A262" s="7" t="n">
        <x:v>46221.5</x:v>
      </x:c>
      <x:c r="B262" s="2" t="str">
        <x:v>9:05 AM</x:v>
      </x:c>
      <x:c r="C262" s="2" t="str">
        <x:v>FAKE-18-001</x:v>
      </x:c>
      <x:c r="D262" s="2" t="str">
        <x:f>Settings!$A$16</x:f>
        <x:v>Premium Package</x:v>
      </x:c>
      <x:c r="E262" s="2" t="str">
        <x:v>Completed</x:v>
      </x:c>
      <x:c r="F262" s="11" t="n">
        <x:v>1</x:v>
      </x:c>
      <x:c r="G262" s="12" t="n">
        <x:f>F262*SUMIFS(Settings!$C$14:$C$17,Settings!$A$14:$A$17,D262)</x:f>
        <x:v>2</x:v>
      </x:c>
      <x:c r="H262" s="2" t="str">
        <x:v>No</x:v>
      </x:c>
      <x:c r="I262" s="2" t="str">
        <x:v>Completed the fictional selection.</x:v>
      </x:c>
      <x:c r="J262" s="2" t="str">
        <x:v>Day 18!A10:H10</x:v>
      </x:c>
    </x:row>
    <x:row r="263" ht="23" customHeight="1">
      <x:c r="A263" s="7" t="n">
        <x:v>46221.5</x:v>
      </x:c>
      <x:c r="B263" s="2" t="str">
        <x:v>9:35 AM</x:v>
      </x:c>
      <x:c r="C263" s="2" t="str">
        <x:v>FAKE-18-002</x:v>
      </x:c>
      <x:c r="D263" s="2" t="str">
        <x:f>Settings!$A$15</x:f>
        <x:v>Plus Package</x:v>
      </x:c>
      <x:c r="E263" s="2" t="str">
        <x:v>Follow-up</x:v>
      </x:c>
      <x:c r="F263" s="11" t="n">
        <x:v>0</x:v>
      </x:c>
      <x:c r="G263" s="12" t="n">
        <x:f>F263*SUMIFS(Settings!$C$14:$C$17,Settings!$A$14:$A$17,D263)</x:f>
        <x:v>0</x:v>
      </x:c>
      <x:c r="H263" s="2" t="str">
        <x:v>Yes</x:v>
      </x:c>
      <x:c r="I263" s="2" t="str">
        <x:v>Follow-up requested for a later date.</x:v>
      </x:c>
      <x:c r="J263" s="2" t="str">
        <x:v>Day 18!A11:H11</x:v>
      </x:c>
    </x:row>
    <x:row r="264" ht="23" customHeight="1">
      <x:c r="A264" s="7" t="n">
        <x:v>46221.5</x:v>
      </x:c>
      <x:c r="B264" s="2" t="str">
        <x:v>10:05 AM</x:v>
      </x:c>
      <x:c r="C264" s="2" t="str">
        <x:v>FAKE-18-003</x:v>
      </x:c>
      <x:c r="D264" s="2" t="str">
        <x:f>Settings!$A$14</x:f>
        <x:v>Core Package</x:v>
      </x:c>
      <x:c r="E264" s="2" t="str">
        <x:v>No sale</x:v>
      </x:c>
      <x:c r="F264" s="11" t="n">
        <x:v>0</x:v>
      </x:c>
      <x:c r="G264" s="12" t="n">
        <x:f>F264*SUMIFS(Settings!$C$14:$C$17,Settings!$A$14:$A$17,D264)</x:f>
        <x:v>0</x:v>
      </x:c>
      <x:c r="H264" s="2" t="str">
        <x:v>No</x:v>
      </x:c>
      <x:c r="I264" s="2" t="str">
        <x:v>No selection made; no follow-up needed.</x:v>
      </x:c>
      <x:c r="J264" s="2" t="str">
        <x:v>Day 18!A12:H12</x:v>
      </x:c>
    </x:row>
    <x:row r="265" ht="23" customHeight="1">
      <x:c r="A265" s="7" t="n">
        <x:v>46221.5</x:v>
      </x:c>
      <x:c r="B265" s="2" t="str">
        <x:v>10:35 AM</x:v>
      </x:c>
      <x:c r="C265" s="2" t="str">
        <x:v>FAKE-18-004</x:v>
      </x:c>
      <x:c r="D265" s="2" t="str">
        <x:f>Settings!$A$17</x:f>
        <x:v>Optional Add-on</x:v>
      </x:c>
      <x:c r="E265" s="2" t="str">
        <x:v>Completed</x:v>
      </x:c>
      <x:c r="F265" s="11" t="n">
        <x:v>2</x:v>
      </x:c>
      <x:c r="G265" s="12" t="n">
        <x:f>F265*SUMIFS(Settings!$C$14:$C$17,Settings!$A$14:$A$17,D265)</x:f>
        <x:v>1</x:v>
      </x:c>
      <x:c r="H265" s="2" t="str">
        <x:v>No</x:v>
      </x:c>
      <x:c r="I265" s="2" t="str">
        <x:v>Completed the fictional selection.</x:v>
      </x:c>
      <x:c r="J265" s="2" t="str">
        <x:v>Day 18!A13:H13</x:v>
      </x:c>
    </x:row>
    <x:row r="266" ht="23" customHeight="1">
      <x:c r="A266" s="7" t="n">
        <x:v>46221.5</x:v>
      </x:c>
      <x:c r="B266" s="2" t="str">
        <x:v>11:05 AM</x:v>
      </x:c>
      <x:c r="C266" s="2" t="str">
        <x:v>FAKE-18-005</x:v>
      </x:c>
      <x:c r="D266" s="2" t="str">
        <x:f>Settings!$A$16</x:f>
        <x:v>Premium Package</x:v>
      </x:c>
      <x:c r="E266" s="2" t="str">
        <x:v>Completed</x:v>
      </x:c>
      <x:c r="F266" s="11" t="n">
        <x:v>1</x:v>
      </x:c>
      <x:c r="G266" s="12" t="n">
        <x:f>F266*SUMIFS(Settings!$C$14:$C$17,Settings!$A$14:$A$17,D266)</x:f>
        <x:v>2</x:v>
      </x:c>
      <x:c r="H266" s="2" t="str">
        <x:v>No</x:v>
      </x:c>
      <x:c r="I266" s="2" t="str">
        <x:v>Completed the fictional selection.</x:v>
      </x:c>
      <x:c r="J266" s="2" t="str">
        <x:v>Day 18!A14:H14</x:v>
      </x:c>
    </x:row>
    <x:row r="267" ht="23" customHeight="1">
      <x:c r="A267" s="7" t="n">
        <x:v>46221.5</x:v>
      </x:c>
      <x:c r="B267" s="2" t="str">
        <x:v>11:35 AM</x:v>
      </x:c>
      <x:c r="C267" s="2" t="str">
        <x:v>FAKE-18-006</x:v>
      </x:c>
      <x:c r="D267" s="2" t="str">
        <x:f>Settings!$A$15</x:f>
        <x:v>Plus Package</x:v>
      </x:c>
      <x:c r="E267" s="2" t="str">
        <x:v>Completed</x:v>
      </x:c>
      <x:c r="F267" s="11" t="n">
        <x:v>1</x:v>
      </x:c>
      <x:c r="G267" s="12" t="n">
        <x:f>F267*SUMIFS(Settings!$C$14:$C$17,Settings!$A$14:$A$17,D267)</x:f>
        <x:v>1.5</x:v>
      </x:c>
      <x:c r="H267" s="2" t="str">
        <x:v>No</x:v>
      </x:c>
      <x:c r="I267" s="2" t="str">
        <x:v>Completed the fictional selection.</x:v>
      </x:c>
      <x:c r="J267" s="2" t="str">
        <x:v>Day 18!A15:H15</x:v>
      </x:c>
    </x:row>
    <x:row r="268" ht="23" customHeight="1">
      <x:c r="A268" s="7" t="n">
        <x:v>46221.5</x:v>
      </x:c>
      <x:c r="B268" s="2" t="str">
        <x:v>12:05 PM</x:v>
      </x:c>
      <x:c r="C268" s="2" t="str">
        <x:v>FAKE-18-007</x:v>
      </x:c>
      <x:c r="D268" s="2" t="str">
        <x:f>Settings!$A$14</x:f>
        <x:v>Core Package</x:v>
      </x:c>
      <x:c r="E268" s="2" t="str">
        <x:v>Follow-up</x:v>
      </x:c>
      <x:c r="F268" s="11" t="n">
        <x:v>0</x:v>
      </x:c>
      <x:c r="G268" s="12" t="n">
        <x:f>F268*SUMIFS(Settings!$C$14:$C$17,Settings!$A$14:$A$17,D268)</x:f>
        <x:v>0</x:v>
      </x:c>
      <x:c r="H268" s="2" t="str">
        <x:v>Yes</x:v>
      </x:c>
      <x:c r="I268" s="2" t="str">
        <x:v>Follow-up requested for a later date.</x:v>
      </x:c>
      <x:c r="J268" s="2" t="str">
        <x:v>Day 18!A16:H16</x:v>
      </x:c>
    </x:row>
    <x:row r="269" ht="23" customHeight="1">
      <x:c r="A269" s="7" t="n">
        <x:v>46221.5</x:v>
      </x:c>
      <x:c r="B269" s="2" t="str">
        <x:v>12:35 PM</x:v>
      </x:c>
      <x:c r="C269" s="2" t="str">
        <x:v>FAKE-18-008</x:v>
      </x:c>
      <x:c r="D269" s="2" t="str">
        <x:f>Settings!$A$17</x:f>
        <x:v>Optional Add-on</x:v>
      </x:c>
      <x:c r="E269" s="2" t="str">
        <x:v>No sale</x:v>
      </x:c>
      <x:c r="F269" s="11" t="n">
        <x:v>0</x:v>
      </x:c>
      <x:c r="G269" s="12" t="n">
        <x:f>F269*SUMIFS(Settings!$C$14:$C$17,Settings!$A$14:$A$17,D269)</x:f>
        <x:v>0</x:v>
      </x:c>
      <x:c r="H269" s="2" t="str">
        <x:v>No</x:v>
      </x:c>
      <x:c r="I269" s="2" t="str">
        <x:v>No selection made; no follow-up needed.</x:v>
      </x:c>
      <x:c r="J269" s="2" t="str">
        <x:v>Day 18!A17:H17</x:v>
      </x:c>
    </x:row>
    <x:row r="270" ht="23" customHeight="1">
      <x:c r="A270" s="7" t="n">
        <x:v>46221.5</x:v>
      </x:c>
      <x:c r="B270" s="2" t="str">
        <x:v>1:05 PM</x:v>
      </x:c>
      <x:c r="C270" s="2" t="str">
        <x:v>FAKE-18-009</x:v>
      </x:c>
      <x:c r="D270" s="2" t="str">
        <x:f>Settings!$A$16</x:f>
        <x:v>Premium Package</x:v>
      </x:c>
      <x:c r="E270" s="2" t="str">
        <x:v>Completed</x:v>
      </x:c>
      <x:c r="F270" s="11" t="n">
        <x:v>2</x:v>
      </x:c>
      <x:c r="G270" s="12" t="n">
        <x:f>F270*SUMIFS(Settings!$C$14:$C$17,Settings!$A$14:$A$17,D270)</x:f>
        <x:v>4</x:v>
      </x:c>
      <x:c r="H270" s="2" t="str">
        <x:v>No</x:v>
      </x:c>
      <x:c r="I270" s="2" t="str">
        <x:v>Completed the fictional selection.</x:v>
      </x:c>
      <x:c r="J270" s="2" t="str">
        <x:v>Day 18!A18:H18</x:v>
      </x:c>
    </x:row>
    <x:row r="271" ht="23" customHeight="1">
      <x:c r="A271" s="7" t="n">
        <x:v>46221.5</x:v>
      </x:c>
      <x:c r="B271" s="2" t="str">
        <x:v>1:35 PM</x:v>
      </x:c>
      <x:c r="C271" s="2" t="str">
        <x:v>FAKE-18-010</x:v>
      </x:c>
      <x:c r="D271" s="2" t="str">
        <x:f>Settings!$A$15</x:f>
        <x:v>Plus Package</x:v>
      </x:c>
      <x:c r="E271" s="2" t="str">
        <x:v>Completed</x:v>
      </x:c>
      <x:c r="F271" s="11" t="n">
        <x:v>1</x:v>
      </x:c>
      <x:c r="G271" s="12" t="n">
        <x:f>F271*SUMIFS(Settings!$C$14:$C$17,Settings!$A$14:$A$17,D271)</x:f>
        <x:v>1.5</x:v>
      </x:c>
      <x:c r="H271" s="2" t="str">
        <x:v>No</x:v>
      </x:c>
      <x:c r="I271" s="2" t="str">
        <x:v>Completed the fictional selection.</x:v>
      </x:c>
      <x:c r="J271" s="2" t="str">
        <x:v>Day 18!A19:H19</x:v>
      </x:c>
    </x:row>
    <x:row r="272" ht="23" customHeight="1">
      <x:c r="A272" s="7" t="n">
        <x:v>46221.5</x:v>
      </x:c>
      <x:c r="B272" s="2" t="str">
        <x:v>2:05 PM</x:v>
      </x:c>
      <x:c r="C272" s="2" t="str">
        <x:v>FAKE-18-011</x:v>
      </x:c>
      <x:c r="D272" s="2" t="str">
        <x:f>Settings!$A$14</x:f>
        <x:v>Core Package</x:v>
      </x:c>
      <x:c r="E272" s="2" t="str">
        <x:v>Completed</x:v>
      </x:c>
      <x:c r="F272" s="11" t="n">
        <x:v>1</x:v>
      </x:c>
      <x:c r="G272" s="12" t="n">
        <x:f>F272*SUMIFS(Settings!$C$14:$C$17,Settings!$A$14:$A$17,D272)</x:f>
        <x:v>1</x:v>
      </x:c>
      <x:c r="H272" s="2" t="str">
        <x:v>No</x:v>
      </x:c>
      <x:c r="I272" s="2" t="str">
        <x:v>Completed the fictional selection.</x:v>
      </x:c>
      <x:c r="J272" s="2" t="str">
        <x:v>Day 18!A20:H20</x:v>
      </x:c>
    </x:row>
    <x:row r="273" ht="23" customHeight="1">
      <x:c r="A273" s="7" t="n">
        <x:v>46221.5</x:v>
      </x:c>
      <x:c r="B273" s="2" t="str">
        <x:v>2:35 PM</x:v>
      </x:c>
      <x:c r="C273" s="2" t="str">
        <x:v>FAKE-18-012</x:v>
      </x:c>
      <x:c r="D273" s="2" t="str">
        <x:f>Settings!$A$17</x:f>
        <x:v>Optional Add-on</x:v>
      </x:c>
      <x:c r="E273" s="2" t="str">
        <x:v>Follow-up</x:v>
      </x:c>
      <x:c r="F273" s="11" t="n">
        <x:v>0</x:v>
      </x:c>
      <x:c r="G273" s="12" t="n">
        <x:f>F273*SUMIFS(Settings!$C$14:$C$17,Settings!$A$14:$A$17,D273)</x:f>
        <x:v>0</x:v>
      </x:c>
      <x:c r="H273" s="2" t="str">
        <x:v>Yes</x:v>
      </x:c>
      <x:c r="I273" s="2" t="str">
        <x:v>Follow-up requested for a later date.</x:v>
      </x:c>
      <x:c r="J273" s="2" t="str">
        <x:v>Day 18!A21:H21</x:v>
      </x:c>
    </x:row>
    <x:row r="274" ht="23" customHeight="1">
      <x:c r="A274" s="7" t="n">
        <x:v>46221.5</x:v>
      </x:c>
      <x:c r="B274" s="2" t="str">
        <x:v>3:05 PM</x:v>
      </x:c>
      <x:c r="C274" s="2" t="str">
        <x:v>FAKE-18-013</x:v>
      </x:c>
      <x:c r="D274" s="2" t="str">
        <x:f>Settings!$A$16</x:f>
        <x:v>Premium Package</x:v>
      </x:c>
      <x:c r="E274" s="2" t="str">
        <x:v>No sale</x:v>
      </x:c>
      <x:c r="F274" s="11" t="n">
        <x:v>0</x:v>
      </x:c>
      <x:c r="G274" s="12" t="n">
        <x:f>F274*SUMIFS(Settings!$C$14:$C$17,Settings!$A$14:$A$17,D274)</x:f>
        <x:v>0</x:v>
      </x:c>
      <x:c r="H274" s="2" t="str">
        <x:v>No</x:v>
      </x:c>
      <x:c r="I274" s="2" t="str">
        <x:v>No selection made; no follow-up needed.</x:v>
      </x:c>
      <x:c r="J274" s="2" t="str">
        <x:v>Day 18!A22:H22</x:v>
      </x:c>
    </x:row>
    <x:row r="275" ht="23" customHeight="1">
      <x:c r="A275" s="7" t="n">
        <x:v>46221.5</x:v>
      </x:c>
      <x:c r="B275" s="2" t="str">
        <x:v>3:35 PM</x:v>
      </x:c>
      <x:c r="C275" s="2" t="str">
        <x:v>FAKE-18-014</x:v>
      </x:c>
      <x:c r="D275" s="2" t="str">
        <x:f>Settings!$A$15</x:f>
        <x:v>Plus Package</x:v>
      </x:c>
      <x:c r="E275" s="2" t="str">
        <x:v>Completed</x:v>
      </x:c>
      <x:c r="F275" s="11" t="n">
        <x:v>2</x:v>
      </x:c>
      <x:c r="G275" s="12" t="n">
        <x:f>F275*SUMIFS(Settings!$C$14:$C$17,Settings!$A$14:$A$17,D275)</x:f>
        <x:v>3</x:v>
      </x:c>
      <x:c r="H275" s="2" t="str">
        <x:v>No</x:v>
      </x:c>
      <x:c r="I275" s="2" t="str">
        <x:v>Completed the fictional selection.</x:v>
      </x:c>
      <x:c r="J275" s="2" t="str">
        <x:v>Day 18!A23:H23</x:v>
      </x:c>
    </x:row>
    <x:row r="276" ht="23" customHeight="1">
      <x:c r="A276" s="7" t="n">
        <x:v>46221.5</x:v>
      </x:c>
      <x:c r="B276" s="2" t="str">
        <x:v>4:05 PM</x:v>
      </x:c>
      <x:c r="C276" s="2" t="str">
        <x:v>FAKE-18-015</x:v>
      </x:c>
      <x:c r="D276" s="2" t="str">
        <x:f>Settings!$A$14</x:f>
        <x:v>Core Package</x:v>
      </x:c>
      <x:c r="E276" s="2" t="str">
        <x:v>Completed</x:v>
      </x:c>
      <x:c r="F276" s="11" t="n">
        <x:v>1</x:v>
      </x:c>
      <x:c r="G276" s="12" t="n">
        <x:f>F276*SUMIFS(Settings!$C$14:$C$17,Settings!$A$14:$A$17,D276)</x:f>
        <x:v>1</x:v>
      </x:c>
      <x:c r="H276" s="2" t="str">
        <x:v>No</x:v>
      </x:c>
      <x:c r="I276" s="2" t="str">
        <x:v>Completed the fictional selection.</x:v>
      </x:c>
      <x:c r="J276" s="2" t="str">
        <x:v>Day 18!A24:H24</x:v>
      </x:c>
    </x:row>
    <x:row r="277" ht="23" customHeight="1">
      <x:c r="A277" s="7" t="n">
        <x:v>46221.5</x:v>
      </x:c>
      <x:c r="B277" s="2" t="str">
        <x:v>4:35 PM</x:v>
      </x:c>
      <x:c r="C277" s="2" t="str">
        <x:v>FAKE-18-016</x:v>
      </x:c>
      <x:c r="D277" s="2" t="str">
        <x:f>Settings!$A$17</x:f>
        <x:v>Optional Add-on</x:v>
      </x:c>
      <x:c r="E277" s="2" t="str">
        <x:v>Completed</x:v>
      </x:c>
      <x:c r="F277" s="11" t="n">
        <x:v>1</x:v>
      </x:c>
      <x:c r="G277" s="12" t="n">
        <x:f>F277*SUMIFS(Settings!$C$14:$C$17,Settings!$A$14:$A$17,D277)</x:f>
        <x:v>0.5</x:v>
      </x:c>
      <x:c r="H277" s="2" t="str">
        <x:v>No</x:v>
      </x:c>
      <x:c r="I277" s="2" t="str">
        <x:v>Completed the fictional selection.</x:v>
      </x:c>
      <x:c r="J277" s="2" t="str">
        <x:v>Day 18!A25:H25</x:v>
      </x:c>
    </x:row>
    <x:row r="278" ht="23" customHeight="1">
      <x:c r="A278" s="7" t="n">
        <x:v>46221.5</x:v>
      </x:c>
      <x:c r="B278" s="2" t="str">
        <x:v>5:05 PM</x:v>
      </x:c>
      <x:c r="C278" s="2" t="str">
        <x:v>FAKE-18-017</x:v>
      </x:c>
      <x:c r="D278" s="2" t="str">
        <x:f>Settings!$A$16</x:f>
        <x:v>Premium Package</x:v>
      </x:c>
      <x:c r="E278" s="2" t="str">
        <x:v>Follow-up</x:v>
      </x:c>
      <x:c r="F278" s="11" t="n">
        <x:v>0</x:v>
      </x:c>
      <x:c r="G278" s="12" t="n">
        <x:f>F278*SUMIFS(Settings!$C$14:$C$17,Settings!$A$14:$A$17,D278)</x:f>
        <x:v>0</x:v>
      </x:c>
      <x:c r="H278" s="2" t="str">
        <x:v>Yes</x:v>
      </x:c>
      <x:c r="I278" s="2" t="str">
        <x:v>Follow-up requested for a later date.</x:v>
      </x:c>
      <x:c r="J278" s="2" t="str">
        <x:v>Day 18!A26:H26</x:v>
      </x:c>
    </x:row>
    <x:row r="279" ht="23" customHeight="1">
      <x:c r="A279" s="7" t="n">
        <x:v>46221.5</x:v>
      </x:c>
      <x:c r="B279" s="2" t="str">
        <x:v>5:35 PM</x:v>
      </x:c>
      <x:c r="C279" s="2" t="str">
        <x:v>FAKE-18-018</x:v>
      </x:c>
      <x:c r="D279" s="2" t="str">
        <x:f>Settings!$A$15</x:f>
        <x:v>Plus Package</x:v>
      </x:c>
      <x:c r="E279" s="2" t="str">
        <x:v>No sale</x:v>
      </x:c>
      <x:c r="F279" s="11" t="n">
        <x:v>0</x:v>
      </x:c>
      <x:c r="G279" s="12" t="n">
        <x:f>F279*SUMIFS(Settings!$C$14:$C$17,Settings!$A$14:$A$17,D279)</x:f>
        <x:v>0</x:v>
      </x:c>
      <x:c r="H279" s="2" t="str">
        <x:v>No</x:v>
      </x:c>
      <x:c r="I279" s="2" t="str">
        <x:v>No selection made; no follow-up needed.</x:v>
      </x:c>
      <x:c r="J279" s="2" t="str">
        <x:v>Day 18!A27:H27</x:v>
      </x:c>
    </x:row>
    <x:row r="280" ht="23" customHeight="1">
      <x:c r="A280" s="7" t="n">
        <x:v>46222.5</x:v>
      </x:c>
      <x:c r="B280" s="2" t="str">
        <x:v>9:05 AM</x:v>
      </x:c>
      <x:c r="C280" s="2" t="str">
        <x:v>FAKE-19-001</x:v>
      </x:c>
      <x:c r="D280" s="2" t="str">
        <x:f>Settings!$A$17</x:f>
        <x:v>Optional Add-on</x:v>
      </x:c>
      <x:c r="E280" s="2" t="str">
        <x:v>Follow-up</x:v>
      </x:c>
      <x:c r="F280" s="11" t="n">
        <x:v>0</x:v>
      </x:c>
      <x:c r="G280" s="12" t="n">
        <x:f>F280*SUMIFS(Settings!$C$14:$C$17,Settings!$A$14:$A$17,D280)</x:f>
        <x:v>0</x:v>
      </x:c>
      <x:c r="H280" s="2" t="str">
        <x:v>Yes</x:v>
      </x:c>
      <x:c r="I280" s="2" t="str">
        <x:v>Follow-up requested for a later date.</x:v>
      </x:c>
      <x:c r="J280" s="2" t="str">
        <x:v>Day 19!A10:H10</x:v>
      </x:c>
    </x:row>
    <x:row r="281" ht="23" customHeight="1">
      <x:c r="A281" s="7" t="n">
        <x:v>46222.5</x:v>
      </x:c>
      <x:c r="B281" s="2" t="str">
        <x:v>9:35 AM</x:v>
      </x:c>
      <x:c r="C281" s="2" t="str">
        <x:v>FAKE-19-002</x:v>
      </x:c>
      <x:c r="D281" s="2" t="str">
        <x:f>Settings!$A$16</x:f>
        <x:v>Premium Package</x:v>
      </x:c>
      <x:c r="E281" s="2" t="str">
        <x:v>No sale</x:v>
      </x:c>
      <x:c r="F281" s="11" t="n">
        <x:v>0</x:v>
      </x:c>
      <x:c r="G281" s="12" t="n">
        <x:f>F281*SUMIFS(Settings!$C$14:$C$17,Settings!$A$14:$A$17,D281)</x:f>
        <x:v>0</x:v>
      </x:c>
      <x:c r="H281" s="2" t="str">
        <x:v>No</x:v>
      </x:c>
      <x:c r="I281" s="2" t="str">
        <x:v>No selection made; no follow-up needed.</x:v>
      </x:c>
      <x:c r="J281" s="2" t="str">
        <x:v>Day 19!A11:H11</x:v>
      </x:c>
    </x:row>
    <x:row r="282" ht="23" customHeight="1">
      <x:c r="A282" s="7" t="n">
        <x:v>46222.5</x:v>
      </x:c>
      <x:c r="B282" s="2" t="str">
        <x:v>10:05 AM</x:v>
      </x:c>
      <x:c r="C282" s="2" t="str">
        <x:v>FAKE-19-003</x:v>
      </x:c>
      <x:c r="D282" s="2" t="str">
        <x:f>Settings!$A$15</x:f>
        <x:v>Plus Package</x:v>
      </x:c>
      <x:c r="E282" s="2" t="str">
        <x:v>Completed</x:v>
      </x:c>
      <x:c r="F282" s="11" t="n">
        <x:v>1</x:v>
      </x:c>
      <x:c r="G282" s="12" t="n">
        <x:f>F282*SUMIFS(Settings!$C$14:$C$17,Settings!$A$14:$A$17,D282)</x:f>
        <x:v>1.5</x:v>
      </x:c>
      <x:c r="H282" s="2" t="str">
        <x:v>No</x:v>
      </x:c>
      <x:c r="I282" s="2" t="str">
        <x:v>Completed the fictional selection.</x:v>
      </x:c>
      <x:c r="J282" s="2" t="str">
        <x:v>Day 19!A12:H12</x:v>
      </x:c>
    </x:row>
    <x:row r="283" ht="23" customHeight="1">
      <x:c r="A283" s="7" t="n">
        <x:v>46222.5</x:v>
      </x:c>
      <x:c r="B283" s="2" t="str">
        <x:v>10:35 AM</x:v>
      </x:c>
      <x:c r="C283" s="2" t="str">
        <x:v>FAKE-19-004</x:v>
      </x:c>
      <x:c r="D283" s="2" t="str">
        <x:f>Settings!$A$14</x:f>
        <x:v>Core Package</x:v>
      </x:c>
      <x:c r="E283" s="2" t="str">
        <x:v>Completed</x:v>
      </x:c>
      <x:c r="F283" s="11" t="n">
        <x:v>1</x:v>
      </x:c>
      <x:c r="G283" s="12" t="n">
        <x:f>F283*SUMIFS(Settings!$C$14:$C$17,Settings!$A$14:$A$17,D283)</x:f>
        <x:v>1</x:v>
      </x:c>
      <x:c r="H283" s="2" t="str">
        <x:v>No</x:v>
      </x:c>
      <x:c r="I283" s="2" t="str">
        <x:v>Completed the fictional selection.</x:v>
      </x:c>
      <x:c r="J283" s="2" t="str">
        <x:v>Day 19!A13:H13</x:v>
      </x:c>
    </x:row>
    <x:row r="284" ht="23" customHeight="1">
      <x:c r="A284" s="7" t="n">
        <x:v>46222.5</x:v>
      </x:c>
      <x:c r="B284" s="2" t="str">
        <x:v>11:05 AM</x:v>
      </x:c>
      <x:c r="C284" s="2" t="str">
        <x:v>FAKE-19-005</x:v>
      </x:c>
      <x:c r="D284" s="2" t="str">
        <x:f>Settings!$A$17</x:f>
        <x:v>Optional Add-on</x:v>
      </x:c>
      <x:c r="E284" s="2" t="str">
        <x:v>Completed</x:v>
      </x:c>
      <x:c r="F284" s="11" t="n">
        <x:v>1</x:v>
      </x:c>
      <x:c r="G284" s="12" t="n">
        <x:f>F284*SUMIFS(Settings!$C$14:$C$17,Settings!$A$14:$A$17,D284)</x:f>
        <x:v>0.5</x:v>
      </x:c>
      <x:c r="H284" s="2" t="str">
        <x:v>No</x:v>
      </x:c>
      <x:c r="I284" s="2" t="str">
        <x:v>Completed the fictional selection.</x:v>
      </x:c>
      <x:c r="J284" s="2" t="str">
        <x:v>Day 19!A14:H14</x:v>
      </x:c>
    </x:row>
    <x:row r="285" ht="23" customHeight="1">
      <x:c r="A285" s="7" t="n">
        <x:v>46222.5</x:v>
      </x:c>
      <x:c r="B285" s="2" t="str">
        <x:v>11:35 AM</x:v>
      </x:c>
      <x:c r="C285" s="2" t="str">
        <x:v>FAKE-19-006</x:v>
      </x:c>
      <x:c r="D285" s="2" t="str">
        <x:f>Settings!$A$16</x:f>
        <x:v>Premium Package</x:v>
      </x:c>
      <x:c r="E285" s="2" t="str">
        <x:v>Follow-up</x:v>
      </x:c>
      <x:c r="F285" s="11" t="n">
        <x:v>0</x:v>
      </x:c>
      <x:c r="G285" s="12" t="n">
        <x:f>F285*SUMIFS(Settings!$C$14:$C$17,Settings!$A$14:$A$17,D285)</x:f>
        <x:v>0</x:v>
      </x:c>
      <x:c r="H285" s="2" t="str">
        <x:v>Yes</x:v>
      </x:c>
      <x:c r="I285" s="2" t="str">
        <x:v>Follow-up requested for a later date.</x:v>
      </x:c>
      <x:c r="J285" s="2" t="str">
        <x:v>Day 19!A15:H15</x:v>
      </x:c>
    </x:row>
    <x:row r="286" ht="23" customHeight="1">
      <x:c r="A286" s="7" t="n">
        <x:v>46222.5</x:v>
      </x:c>
      <x:c r="B286" s="2" t="str">
        <x:v>12:05 PM</x:v>
      </x:c>
      <x:c r="C286" s="2" t="str">
        <x:v>FAKE-19-007</x:v>
      </x:c>
      <x:c r="D286" s="2" t="str">
        <x:f>Settings!$A$15</x:f>
        <x:v>Plus Package</x:v>
      </x:c>
      <x:c r="E286" s="2" t="str">
        <x:v>No sale</x:v>
      </x:c>
      <x:c r="F286" s="11" t="n">
        <x:v>0</x:v>
      </x:c>
      <x:c r="G286" s="12" t="n">
        <x:f>F286*SUMIFS(Settings!$C$14:$C$17,Settings!$A$14:$A$17,D286)</x:f>
        <x:v>0</x:v>
      </x:c>
      <x:c r="H286" s="2" t="str">
        <x:v>No</x:v>
      </x:c>
      <x:c r="I286" s="2" t="str">
        <x:v>No selection made; no follow-up needed.</x:v>
      </x:c>
      <x:c r="J286" s="2" t="str">
        <x:v>Day 19!A16:H16</x:v>
      </x:c>
    </x:row>
    <x:row r="287" ht="23" customHeight="1">
      <x:c r="A287" s="7" t="n">
        <x:v>46222.5</x:v>
      </x:c>
      <x:c r="B287" s="2" t="str">
        <x:v>12:35 PM</x:v>
      </x:c>
      <x:c r="C287" s="2" t="str">
        <x:v>FAKE-19-008</x:v>
      </x:c>
      <x:c r="D287" s="2" t="str">
        <x:f>Settings!$A$14</x:f>
        <x:v>Core Package</x:v>
      </x:c>
      <x:c r="E287" s="2" t="str">
        <x:v>Completed</x:v>
      </x:c>
      <x:c r="F287" s="11" t="n">
        <x:v>1</x:v>
      </x:c>
      <x:c r="G287" s="12" t="n">
        <x:f>F287*SUMIFS(Settings!$C$14:$C$17,Settings!$A$14:$A$17,D287)</x:f>
        <x:v>1</x:v>
      </x:c>
      <x:c r="H287" s="2" t="str">
        <x:v>No</x:v>
      </x:c>
      <x:c r="I287" s="2" t="str">
        <x:v>Completed the fictional selection.</x:v>
      </x:c>
      <x:c r="J287" s="2" t="str">
        <x:v>Day 19!A17:H17</x:v>
      </x:c>
    </x:row>
    <x:row r="288" ht="23" customHeight="1">
      <x:c r="A288" s="7" t="n">
        <x:v>46222.5</x:v>
      </x:c>
      <x:c r="B288" s="2" t="str">
        <x:v>1:05 PM</x:v>
      </x:c>
      <x:c r="C288" s="2" t="str">
        <x:v>FAKE-19-009</x:v>
      </x:c>
      <x:c r="D288" s="2" t="str">
        <x:f>Settings!$A$17</x:f>
        <x:v>Optional Add-on</x:v>
      </x:c>
      <x:c r="E288" s="2" t="str">
        <x:v>Completed</x:v>
      </x:c>
      <x:c r="F288" s="11" t="n">
        <x:v>1</x:v>
      </x:c>
      <x:c r="G288" s="12" t="n">
        <x:f>F288*SUMIFS(Settings!$C$14:$C$17,Settings!$A$14:$A$17,D288)</x:f>
        <x:v>0.5</x:v>
      </x:c>
      <x:c r="H288" s="2" t="str">
        <x:v>No</x:v>
      </x:c>
      <x:c r="I288" s="2" t="str">
        <x:v>Completed the fictional selection.</x:v>
      </x:c>
      <x:c r="J288" s="2" t="str">
        <x:v>Day 19!A18:H18</x:v>
      </x:c>
    </x:row>
    <x:row r="289" ht="23" customHeight="1">
      <x:c r="A289" s="7" t="n">
        <x:v>46222.5</x:v>
      </x:c>
      <x:c r="B289" s="2" t="str">
        <x:v>1:35 PM</x:v>
      </x:c>
      <x:c r="C289" s="2" t="str">
        <x:v>FAKE-19-010</x:v>
      </x:c>
      <x:c r="D289" s="2" t="str">
        <x:f>Settings!$A$16</x:f>
        <x:v>Premium Package</x:v>
      </x:c>
      <x:c r="E289" s="2" t="str">
        <x:v>Completed</x:v>
      </x:c>
      <x:c r="F289" s="11" t="n">
        <x:v>1</x:v>
      </x:c>
      <x:c r="G289" s="12" t="n">
        <x:f>F289*SUMIFS(Settings!$C$14:$C$17,Settings!$A$14:$A$17,D289)</x:f>
        <x:v>2</x:v>
      </x:c>
      <x:c r="H289" s="2" t="str">
        <x:v>No</x:v>
      </x:c>
      <x:c r="I289" s="2" t="str">
        <x:v>Completed the fictional selection.</x:v>
      </x:c>
      <x:c r="J289" s="2" t="str">
        <x:v>Day 19!A19:H19</x:v>
      </x:c>
    </x:row>
    <x:row r="290" ht="23" customHeight="1">
      <x:c r="A290" s="7" t="n">
        <x:v>46222.5</x:v>
      </x:c>
      <x:c r="B290" s="2" t="str">
        <x:v>2:05 PM</x:v>
      </x:c>
      <x:c r="C290" s="2" t="str">
        <x:v>FAKE-19-011</x:v>
      </x:c>
      <x:c r="D290" s="2" t="str">
        <x:f>Settings!$A$15</x:f>
        <x:v>Plus Package</x:v>
      </x:c>
      <x:c r="E290" s="2" t="str">
        <x:v>Follow-up</x:v>
      </x:c>
      <x:c r="F290" s="11" t="n">
        <x:v>0</x:v>
      </x:c>
      <x:c r="G290" s="12" t="n">
        <x:f>F290*SUMIFS(Settings!$C$14:$C$17,Settings!$A$14:$A$17,D290)</x:f>
        <x:v>0</x:v>
      </x:c>
      <x:c r="H290" s="2" t="str">
        <x:v>Yes</x:v>
      </x:c>
      <x:c r="I290" s="2" t="str">
        <x:v>Follow-up requested for a later date.</x:v>
      </x:c>
      <x:c r="J290" s="2" t="str">
        <x:v>Day 19!A20:H20</x:v>
      </x:c>
    </x:row>
    <x:row r="291" ht="23" customHeight="1">
      <x:c r="A291" s="7" t="n">
        <x:v>46222.5</x:v>
      </x:c>
      <x:c r="B291" s="2" t="str">
        <x:v>2:35 PM</x:v>
      </x:c>
      <x:c r="C291" s="2" t="str">
        <x:v>FAKE-19-012</x:v>
      </x:c>
      <x:c r="D291" s="2" t="str">
        <x:f>Settings!$A$14</x:f>
        <x:v>Core Package</x:v>
      </x:c>
      <x:c r="E291" s="2" t="str">
        <x:v>No sale</x:v>
      </x:c>
      <x:c r="F291" s="11" t="n">
        <x:v>0</x:v>
      </x:c>
      <x:c r="G291" s="12" t="n">
        <x:f>F291*SUMIFS(Settings!$C$14:$C$17,Settings!$A$14:$A$17,D291)</x:f>
        <x:v>0</x:v>
      </x:c>
      <x:c r="H291" s="2" t="str">
        <x:v>No</x:v>
      </x:c>
      <x:c r="I291" s="2" t="str">
        <x:v>No selection made; no follow-up needed.</x:v>
      </x:c>
      <x:c r="J291" s="2" t="str">
        <x:v>Day 19!A21:H21</x:v>
      </x:c>
    </x:row>
    <x:row r="292" ht="23" customHeight="1">
      <x:c r="A292" s="7" t="n">
        <x:v>46222.5</x:v>
      </x:c>
      <x:c r="B292" s="2" t="str">
        <x:v>3:05 PM</x:v>
      </x:c>
      <x:c r="C292" s="2" t="str">
        <x:v>FAKE-19-013</x:v>
      </x:c>
      <x:c r="D292" s="2" t="str">
        <x:f>Settings!$A$17</x:f>
        <x:v>Optional Add-on</x:v>
      </x:c>
      <x:c r="E292" s="2" t="str">
        <x:v>Completed</x:v>
      </x:c>
      <x:c r="F292" s="11" t="n">
        <x:v>1</x:v>
      </x:c>
      <x:c r="G292" s="12" t="n">
        <x:f>F292*SUMIFS(Settings!$C$14:$C$17,Settings!$A$14:$A$17,D292)</x:f>
        <x:v>0.5</x:v>
      </x:c>
      <x:c r="H292" s="2" t="str">
        <x:v>No</x:v>
      </x:c>
      <x:c r="I292" s="2" t="str">
        <x:v>Completed the fictional selection.</x:v>
      </x:c>
      <x:c r="J292" s="2" t="str">
        <x:v>Day 19!A22:H22</x:v>
      </x:c>
    </x:row>
    <x:row r="293" ht="23" customHeight="1">
      <x:c r="A293" s="7" t="n">
        <x:v>46222.5</x:v>
      </x:c>
      <x:c r="B293" s="2" t="str">
        <x:v>3:35 PM</x:v>
      </x:c>
      <x:c r="C293" s="2" t="str">
        <x:v>FAKE-19-014</x:v>
      </x:c>
      <x:c r="D293" s="2" t="str">
        <x:f>Settings!$A$16</x:f>
        <x:v>Premium Package</x:v>
      </x:c>
      <x:c r="E293" s="2" t="str">
        <x:v>Completed</x:v>
      </x:c>
      <x:c r="F293" s="11" t="n">
        <x:v>1</x:v>
      </x:c>
      <x:c r="G293" s="12" t="n">
        <x:f>F293*SUMIFS(Settings!$C$14:$C$17,Settings!$A$14:$A$17,D293)</x:f>
        <x:v>2</x:v>
      </x:c>
      <x:c r="H293" s="2" t="str">
        <x:v>No</x:v>
      </x:c>
      <x:c r="I293" s="2" t="str">
        <x:v>Completed the fictional selection.</x:v>
      </x:c>
      <x:c r="J293" s="2" t="str">
        <x:v>Day 19!A23:H23</x:v>
      </x:c>
    </x:row>
    <x:row r="294" ht="23" customHeight="1">
      <x:c r="A294" s="7" t="n">
        <x:v>46222.5</x:v>
      </x:c>
      <x:c r="B294" s="2" t="str">
        <x:v>4:05 PM</x:v>
      </x:c>
      <x:c r="C294" s="2" t="str">
        <x:v>FAKE-19-015</x:v>
      </x:c>
      <x:c r="D294" s="2" t="str">
        <x:f>Settings!$A$15</x:f>
        <x:v>Plus Package</x:v>
      </x:c>
      <x:c r="E294" s="2" t="str">
        <x:v>Completed</x:v>
      </x:c>
      <x:c r="F294" s="11" t="n">
        <x:v>1</x:v>
      </x:c>
      <x:c r="G294" s="12" t="n">
        <x:f>F294*SUMIFS(Settings!$C$14:$C$17,Settings!$A$14:$A$17,D294)</x:f>
        <x:v>1.5</x:v>
      </x:c>
      <x:c r="H294" s="2" t="str">
        <x:v>No</x:v>
      </x:c>
      <x:c r="I294" s="2" t="str">
        <x:v>Completed the fictional selection.</x:v>
      </x:c>
      <x:c r="J294" s="2" t="str">
        <x:v>Day 19!A24:H24</x:v>
      </x:c>
    </x:row>
    <x:row r="295" ht="23" customHeight="1">
      <x:c r="A295" s="7" t="n">
        <x:v>46222.5</x:v>
      </x:c>
      <x:c r="B295" s="2" t="str">
        <x:v>4:35 PM</x:v>
      </x:c>
      <x:c r="C295" s="2" t="str">
        <x:v>FAKE-19-016</x:v>
      </x:c>
      <x:c r="D295" s="2" t="str">
        <x:f>Settings!$A$14</x:f>
        <x:v>Core Package</x:v>
      </x:c>
      <x:c r="E295" s="2" t="str">
        <x:v>Follow-up</x:v>
      </x:c>
      <x:c r="F295" s="11" t="n">
        <x:v>0</x:v>
      </x:c>
      <x:c r="G295" s="12" t="n">
        <x:f>F295*SUMIFS(Settings!$C$14:$C$17,Settings!$A$14:$A$17,D295)</x:f>
        <x:v>0</x:v>
      </x:c>
      <x:c r="H295" s="2" t="str">
        <x:v>Yes</x:v>
      </x:c>
      <x:c r="I295" s="2" t="str">
        <x:v>Follow-up requested for a later date.</x:v>
      </x:c>
      <x:c r="J295" s="2" t="str">
        <x:v>Day 19!A25:H25</x:v>
      </x:c>
    </x:row>
    <x:row r="296" ht="23" customHeight="1">
      <x:c r="A296" s="7" t="n">
        <x:v>46223.5</x:v>
      </x:c>
      <x:c r="B296" s="2" t="str">
        <x:v>9:05 AM</x:v>
      </x:c>
      <x:c r="C296" s="2" t="str">
        <x:v>FAKE-20-001</x:v>
      </x:c>
      <x:c r="D296" s="2" t="str">
        <x:f>Settings!$A$14</x:f>
        <x:v>Core Package</x:v>
      </x:c>
      <x:c r="E296" s="2" t="str">
        <x:v>Completed</x:v>
      </x:c>
      <x:c r="F296" s="11" t="n">
        <x:v>2</x:v>
      </x:c>
      <x:c r="G296" s="12" t="n">
        <x:f>F296*SUMIFS(Settings!$C$14:$C$17,Settings!$A$14:$A$17,D296)</x:f>
        <x:v>2</x:v>
      </x:c>
      <x:c r="H296" s="2" t="str">
        <x:v>No</x:v>
      </x:c>
      <x:c r="I296" s="2" t="str">
        <x:v>Completed the fictional selection.</x:v>
      </x:c>
      <x:c r="J296" s="2" t="str">
        <x:v>Day 20!A10:H10</x:v>
      </x:c>
    </x:row>
    <x:row r="297" ht="23" customHeight="1">
      <x:c r="A297" s="7" t="n">
        <x:v>46223.5</x:v>
      </x:c>
      <x:c r="B297" s="2" t="str">
        <x:v>9:35 AM</x:v>
      </x:c>
      <x:c r="C297" s="2" t="str">
        <x:v>FAKE-20-002</x:v>
      </x:c>
      <x:c r="D297" s="2" t="str">
        <x:f>Settings!$A$17</x:f>
        <x:v>Optional Add-on</x:v>
      </x:c>
      <x:c r="E297" s="2" t="str">
        <x:v>Completed</x:v>
      </x:c>
      <x:c r="F297" s="11" t="n">
        <x:v>1</x:v>
      </x:c>
      <x:c r="G297" s="12" t="n">
        <x:f>F297*SUMIFS(Settings!$C$14:$C$17,Settings!$A$14:$A$17,D297)</x:f>
        <x:v>0.5</x:v>
      </x:c>
      <x:c r="H297" s="2" t="str">
        <x:v>No</x:v>
      </x:c>
      <x:c r="I297" s="2" t="str">
        <x:v>Completed the fictional selection.</x:v>
      </x:c>
      <x:c r="J297" s="2" t="str">
        <x:v>Day 20!A11:H11</x:v>
      </x:c>
    </x:row>
    <x:row r="298" ht="23" customHeight="1">
      <x:c r="A298" s="7" t="n">
        <x:v>46223.5</x:v>
      </x:c>
      <x:c r="B298" s="2" t="str">
        <x:v>10:05 AM</x:v>
      </x:c>
      <x:c r="C298" s="2" t="str">
        <x:v>FAKE-20-003</x:v>
      </x:c>
      <x:c r="D298" s="2" t="str">
        <x:f>Settings!$A$16</x:f>
        <x:v>Premium Package</x:v>
      </x:c>
      <x:c r="E298" s="2" t="str">
        <x:v>Completed</x:v>
      </x:c>
      <x:c r="F298" s="11" t="n">
        <x:v>1</x:v>
      </x:c>
      <x:c r="G298" s="12" t="n">
        <x:f>F298*SUMIFS(Settings!$C$14:$C$17,Settings!$A$14:$A$17,D298)</x:f>
        <x:v>2</x:v>
      </x:c>
      <x:c r="H298" s="2" t="str">
        <x:v>No</x:v>
      </x:c>
      <x:c r="I298" s="2" t="str">
        <x:v>Completed the fictional selection.</x:v>
      </x:c>
      <x:c r="J298" s="2" t="str">
        <x:v>Day 20!A12:H12</x:v>
      </x:c>
    </x:row>
    <x:row r="299" ht="23" customHeight="1">
      <x:c r="A299" s="7" t="n">
        <x:v>46223.5</x:v>
      </x:c>
      <x:c r="B299" s="2" t="str">
        <x:v>10:35 AM</x:v>
      </x:c>
      <x:c r="C299" s="2" t="str">
        <x:v>FAKE-20-004</x:v>
      </x:c>
      <x:c r="D299" s="2" t="str">
        <x:f>Settings!$A$15</x:f>
        <x:v>Plus Package</x:v>
      </x:c>
      <x:c r="E299" s="2" t="str">
        <x:v>Follow-up</x:v>
      </x:c>
      <x:c r="F299" s="11" t="n">
        <x:v>0</x:v>
      </x:c>
      <x:c r="G299" s="12" t="n">
        <x:f>F299*SUMIFS(Settings!$C$14:$C$17,Settings!$A$14:$A$17,D299)</x:f>
        <x:v>0</x:v>
      </x:c>
      <x:c r="H299" s="2" t="str">
        <x:v>Yes</x:v>
      </x:c>
      <x:c r="I299" s="2" t="str">
        <x:v>Follow-up requested for a later date.</x:v>
      </x:c>
      <x:c r="J299" s="2" t="str">
        <x:v>Day 20!A13:H13</x:v>
      </x:c>
    </x:row>
    <x:row r="300" ht="23" customHeight="1">
      <x:c r="A300" s="7" t="n">
        <x:v>46223.5</x:v>
      </x:c>
      <x:c r="B300" s="2" t="str">
        <x:v>11:05 AM</x:v>
      </x:c>
      <x:c r="C300" s="2" t="str">
        <x:v>FAKE-20-005</x:v>
      </x:c>
      <x:c r="D300" s="2" t="str">
        <x:f>Settings!$A$14</x:f>
        <x:v>Core Package</x:v>
      </x:c>
      <x:c r="E300" s="2" t="str">
        <x:v>No sale</x:v>
      </x:c>
      <x:c r="F300" s="11" t="n">
        <x:v>0</x:v>
      </x:c>
      <x:c r="G300" s="12" t="n">
        <x:f>F300*SUMIFS(Settings!$C$14:$C$17,Settings!$A$14:$A$17,D300)</x:f>
        <x:v>0</x:v>
      </x:c>
      <x:c r="H300" s="2" t="str">
        <x:v>No</x:v>
      </x:c>
      <x:c r="I300" s="2" t="str">
        <x:v>No selection made; no follow-up needed.</x:v>
      </x:c>
      <x:c r="J300" s="2" t="str">
        <x:v>Day 20!A14:H14</x:v>
      </x:c>
    </x:row>
    <x:row r="301" ht="23" customHeight="1">
      <x:c r="A301" s="7" t="n">
        <x:v>46223.5</x:v>
      </x:c>
      <x:c r="B301" s="2" t="str">
        <x:v>11:35 AM</x:v>
      </x:c>
      <x:c r="C301" s="2" t="str">
        <x:v>FAKE-20-006</x:v>
      </x:c>
      <x:c r="D301" s="2" t="str">
        <x:f>Settings!$A$17</x:f>
        <x:v>Optional Add-on</x:v>
      </x:c>
      <x:c r="E301" s="2" t="str">
        <x:v>Completed</x:v>
      </x:c>
      <x:c r="F301" s="11" t="n">
        <x:v>2</x:v>
      </x:c>
      <x:c r="G301" s="12" t="n">
        <x:f>F301*SUMIFS(Settings!$C$14:$C$17,Settings!$A$14:$A$17,D301)</x:f>
        <x:v>1</x:v>
      </x:c>
      <x:c r="H301" s="2" t="str">
        <x:v>No</x:v>
      </x:c>
      <x:c r="I301" s="2" t="str">
        <x:v>Completed the fictional selection.</x:v>
      </x:c>
      <x:c r="J301" s="2" t="str">
        <x:v>Day 20!A15:H15</x:v>
      </x:c>
    </x:row>
    <x:row r="302" ht="23" customHeight="1">
      <x:c r="A302" s="7" t="n">
        <x:v>46223.5</x:v>
      </x:c>
      <x:c r="B302" s="2" t="str">
        <x:v>12:05 PM</x:v>
      </x:c>
      <x:c r="C302" s="2" t="str">
        <x:v>FAKE-20-007</x:v>
      </x:c>
      <x:c r="D302" s="2" t="str">
        <x:f>Settings!$A$16</x:f>
        <x:v>Premium Package</x:v>
      </x:c>
      <x:c r="E302" s="2" t="str">
        <x:v>Completed</x:v>
      </x:c>
      <x:c r="F302" s="11" t="n">
        <x:v>1</x:v>
      </x:c>
      <x:c r="G302" s="12" t="n">
        <x:f>F302*SUMIFS(Settings!$C$14:$C$17,Settings!$A$14:$A$17,D302)</x:f>
        <x:v>2</x:v>
      </x:c>
      <x:c r="H302" s="2" t="str">
        <x:v>No</x:v>
      </x:c>
      <x:c r="I302" s="2" t="str">
        <x:v>Completed the fictional selection.</x:v>
      </x:c>
      <x:c r="J302" s="2" t="str">
        <x:v>Day 20!A16:H16</x:v>
      </x:c>
    </x:row>
    <x:row r="303" ht="23" customHeight="1">
      <x:c r="A303" s="7" t="n">
        <x:v>46223.5</x:v>
      </x:c>
      <x:c r="B303" s="2" t="str">
        <x:v>12:35 PM</x:v>
      </x:c>
      <x:c r="C303" s="2" t="str">
        <x:v>FAKE-20-008</x:v>
      </x:c>
      <x:c r="D303" s="2" t="str">
        <x:f>Settings!$A$15</x:f>
        <x:v>Plus Package</x:v>
      </x:c>
      <x:c r="E303" s="2" t="str">
        <x:v>Completed</x:v>
      </x:c>
      <x:c r="F303" s="11" t="n">
        <x:v>1</x:v>
      </x:c>
      <x:c r="G303" s="12" t="n">
        <x:f>F303*SUMIFS(Settings!$C$14:$C$17,Settings!$A$14:$A$17,D303)</x:f>
        <x:v>1.5</x:v>
      </x:c>
      <x:c r="H303" s="2" t="str">
        <x:v>No</x:v>
      </x:c>
      <x:c r="I303" s="2" t="str">
        <x:v>Completed the fictional selection.</x:v>
      </x:c>
      <x:c r="J303" s="2" t="str">
        <x:v>Day 20!A17:H17</x:v>
      </x:c>
    </x:row>
    <x:row r="304" ht="23" customHeight="1">
      <x:c r="A304" s="7" t="n">
        <x:v>46223.5</x:v>
      </x:c>
      <x:c r="B304" s="2" t="str">
        <x:v>1:05 PM</x:v>
      </x:c>
      <x:c r="C304" s="2" t="str">
        <x:v>FAKE-20-009</x:v>
      </x:c>
      <x:c r="D304" s="2" t="str">
        <x:f>Settings!$A$14</x:f>
        <x:v>Core Package</x:v>
      </x:c>
      <x:c r="E304" s="2" t="str">
        <x:v>Follow-up</x:v>
      </x:c>
      <x:c r="F304" s="11" t="n">
        <x:v>0</x:v>
      </x:c>
      <x:c r="G304" s="12" t="n">
        <x:f>F304*SUMIFS(Settings!$C$14:$C$17,Settings!$A$14:$A$17,D304)</x:f>
        <x:v>0</x:v>
      </x:c>
      <x:c r="H304" s="2" t="str">
        <x:v>Yes</x:v>
      </x:c>
      <x:c r="I304" s="2" t="str">
        <x:v>Follow-up requested for a later date.</x:v>
      </x:c>
      <x:c r="J304" s="2" t="str">
        <x:v>Day 20!A18:H18</x:v>
      </x:c>
    </x:row>
    <x:row r="305" ht="23" customHeight="1">
      <x:c r="A305" s="7" t="n">
        <x:v>46223.5</x:v>
      </x:c>
      <x:c r="B305" s="2" t="str">
        <x:v>1:35 PM</x:v>
      </x:c>
      <x:c r="C305" s="2" t="str">
        <x:v>FAKE-20-010</x:v>
      </x:c>
      <x:c r="D305" s="2" t="str">
        <x:f>Settings!$A$17</x:f>
        <x:v>Optional Add-on</x:v>
      </x:c>
      <x:c r="E305" s="2" t="str">
        <x:v>No sale</x:v>
      </x:c>
      <x:c r="F305" s="11" t="n">
        <x:v>0</x:v>
      </x:c>
      <x:c r="G305" s="12" t="n">
        <x:f>F305*SUMIFS(Settings!$C$14:$C$17,Settings!$A$14:$A$17,D305)</x:f>
        <x:v>0</x:v>
      </x:c>
      <x:c r="H305" s="2" t="str">
        <x:v>No</x:v>
      </x:c>
      <x:c r="I305" s="2" t="str">
        <x:v>No selection made; no follow-up needed.</x:v>
      </x:c>
      <x:c r="J305" s="2" t="str">
        <x:v>Day 20!A19:H19</x:v>
      </x:c>
    </x:row>
    <x:row r="306" ht="23" customHeight="1">
      <x:c r="A306" s="7" t="n">
        <x:v>46223.5</x:v>
      </x:c>
      <x:c r="B306" s="2" t="str">
        <x:v>2:05 PM</x:v>
      </x:c>
      <x:c r="C306" s="2" t="str">
        <x:v>FAKE-20-011</x:v>
      </x:c>
      <x:c r="D306" s="2" t="str">
        <x:f>Settings!$A$16</x:f>
        <x:v>Premium Package</x:v>
      </x:c>
      <x:c r="E306" s="2" t="str">
        <x:v>Completed</x:v>
      </x:c>
      <x:c r="F306" s="11" t="n">
        <x:v>2</x:v>
      </x:c>
      <x:c r="G306" s="12" t="n">
        <x:f>F306*SUMIFS(Settings!$C$14:$C$17,Settings!$A$14:$A$17,D306)</x:f>
        <x:v>4</x:v>
      </x:c>
      <x:c r="H306" s="2" t="str">
        <x:v>No</x:v>
      </x:c>
      <x:c r="I306" s="2" t="str">
        <x:v>Completed the fictional selection.</x:v>
      </x:c>
      <x:c r="J306" s="2" t="str">
        <x:v>Day 20!A20:H20</x:v>
      </x:c>
    </x:row>
    <x:row r="307" ht="23" customHeight="1">
      <x:c r="A307" s="7" t="n">
        <x:v>46223.5</x:v>
      </x:c>
      <x:c r="B307" s="2" t="str">
        <x:v>2:35 PM</x:v>
      </x:c>
      <x:c r="C307" s="2" t="str">
        <x:v>FAKE-20-012</x:v>
      </x:c>
      <x:c r="D307" s="2" t="str">
        <x:f>Settings!$A$15</x:f>
        <x:v>Plus Package</x:v>
      </x:c>
      <x:c r="E307" s="2" t="str">
        <x:v>Completed</x:v>
      </x:c>
      <x:c r="F307" s="11" t="n">
        <x:v>1</x:v>
      </x:c>
      <x:c r="G307" s="12" t="n">
        <x:f>F307*SUMIFS(Settings!$C$14:$C$17,Settings!$A$14:$A$17,D307)</x:f>
        <x:v>1.5</x:v>
      </x:c>
      <x:c r="H307" s="2" t="str">
        <x:v>No</x:v>
      </x:c>
      <x:c r="I307" s="2" t="str">
        <x:v>Completed the fictional selection.</x:v>
      </x:c>
      <x:c r="J307" s="2" t="str">
        <x:v>Day 20!A21:H21</x:v>
      </x:c>
    </x:row>
    <x:row r="308" ht="23" customHeight="1">
      <x:c r="A308" s="7" t="n">
        <x:v>46223.5</x:v>
      </x:c>
      <x:c r="B308" s="2" t="str">
        <x:v>3:05 PM</x:v>
      </x:c>
      <x:c r="C308" s="2" t="str">
        <x:v>FAKE-20-013</x:v>
      </x:c>
      <x:c r="D308" s="2" t="str">
        <x:f>Settings!$A$14</x:f>
        <x:v>Core Package</x:v>
      </x:c>
      <x:c r="E308" s="2" t="str">
        <x:v>Completed</x:v>
      </x:c>
      <x:c r="F308" s="11" t="n">
        <x:v>1</x:v>
      </x:c>
      <x:c r="G308" s="12" t="n">
        <x:f>F308*SUMIFS(Settings!$C$14:$C$17,Settings!$A$14:$A$17,D308)</x:f>
        <x:v>1</x:v>
      </x:c>
      <x:c r="H308" s="2" t="str">
        <x:v>No</x:v>
      </x:c>
      <x:c r="I308" s="2" t="str">
        <x:v>Completed the fictional selection.</x:v>
      </x:c>
      <x:c r="J308" s="2" t="str">
        <x:v>Day 20!A22:H22</x:v>
      </x:c>
    </x:row>
    <x:row r="309" ht="23" customHeight="1">
      <x:c r="A309" s="7" t="n">
        <x:v>46223.5</x:v>
      </x:c>
      <x:c r="B309" s="2" t="str">
        <x:v>3:35 PM</x:v>
      </x:c>
      <x:c r="C309" s="2" t="str">
        <x:v>FAKE-20-014</x:v>
      </x:c>
      <x:c r="D309" s="2" t="str">
        <x:f>Settings!$A$17</x:f>
        <x:v>Optional Add-on</x:v>
      </x:c>
      <x:c r="E309" s="2" t="str">
        <x:v>Follow-up</x:v>
      </x:c>
      <x:c r="F309" s="11" t="n">
        <x:v>0</x:v>
      </x:c>
      <x:c r="G309" s="12" t="n">
        <x:f>F309*SUMIFS(Settings!$C$14:$C$17,Settings!$A$14:$A$17,D309)</x:f>
        <x:v>0</x:v>
      </x:c>
      <x:c r="H309" s="2" t="str">
        <x:v>Yes</x:v>
      </x:c>
      <x:c r="I309" s="2" t="str">
        <x:v>Follow-up requested for a later date.</x:v>
      </x:c>
      <x:c r="J309" s="2" t="str">
        <x:v>Day 20!A23:H23</x:v>
      </x:c>
    </x:row>
    <x:row r="310" ht="23" customHeight="1">
      <x:c r="A310" s="7" t="n">
        <x:v>46224.5</x:v>
      </x:c>
      <x:c r="B310" s="2" t="str">
        <x:v>9:05 AM</x:v>
      </x:c>
      <x:c r="C310" s="2" t="str">
        <x:v>FAKE-21-001</x:v>
      </x:c>
      <x:c r="D310" s="2" t="str">
        <x:f>Settings!$A$15</x:f>
        <x:v>Plus Package</x:v>
      </x:c>
      <x:c r="E310" s="2" t="str">
        <x:v>Completed</x:v>
      </x:c>
      <x:c r="F310" s="11" t="n">
        <x:v>1</x:v>
      </x:c>
      <x:c r="G310" s="12" t="n">
        <x:f>F310*SUMIFS(Settings!$C$14:$C$17,Settings!$A$14:$A$17,D310)</x:f>
        <x:v>1.5</x:v>
      </x:c>
      <x:c r="H310" s="2" t="str">
        <x:v>No</x:v>
      </x:c>
      <x:c r="I310" s="2" t="str">
        <x:v>Completed the fictional selection.</x:v>
      </x:c>
      <x:c r="J310" s="2" t="str">
        <x:v>Day 21!A10:H10</x:v>
      </x:c>
    </x:row>
    <x:row r="311" ht="23" customHeight="1">
      <x:c r="A311" s="7" t="n">
        <x:v>46224.5</x:v>
      </x:c>
      <x:c r="B311" s="2" t="str">
        <x:v>9:35 AM</x:v>
      </x:c>
      <x:c r="C311" s="2" t="str">
        <x:v>FAKE-21-002</x:v>
      </x:c>
      <x:c r="D311" s="2" t="str">
        <x:f>Settings!$A$14</x:f>
        <x:v>Core Package</x:v>
      </x:c>
      <x:c r="E311" s="2" t="str">
        <x:v>Completed</x:v>
      </x:c>
      <x:c r="F311" s="11" t="n">
        <x:v>1</x:v>
      </x:c>
      <x:c r="G311" s="12" t="n">
        <x:f>F311*SUMIFS(Settings!$C$14:$C$17,Settings!$A$14:$A$17,D311)</x:f>
        <x:v>1</x:v>
      </x:c>
      <x:c r="H311" s="2" t="str">
        <x:v>No</x:v>
      </x:c>
      <x:c r="I311" s="2" t="str">
        <x:v>Completed the fictional selection.</x:v>
      </x:c>
      <x:c r="J311" s="2" t="str">
        <x:v>Day 21!A11:H11</x:v>
      </x:c>
    </x:row>
    <x:row r="312" ht="23" customHeight="1">
      <x:c r="A312" s="7" t="n">
        <x:v>46224.5</x:v>
      </x:c>
      <x:c r="B312" s="2" t="str">
        <x:v>10:05 AM</x:v>
      </x:c>
      <x:c r="C312" s="2" t="str">
        <x:v>FAKE-21-003</x:v>
      </x:c>
      <x:c r="D312" s="2" t="str">
        <x:f>Settings!$A$17</x:f>
        <x:v>Optional Add-on</x:v>
      </x:c>
      <x:c r="E312" s="2" t="str">
        <x:v>Follow-up</x:v>
      </x:c>
      <x:c r="F312" s="11" t="n">
        <x:v>0</x:v>
      </x:c>
      <x:c r="G312" s="12" t="n">
        <x:f>F312*SUMIFS(Settings!$C$14:$C$17,Settings!$A$14:$A$17,D312)</x:f>
        <x:v>0</x:v>
      </x:c>
      <x:c r="H312" s="2" t="str">
        <x:v>Yes</x:v>
      </x:c>
      <x:c r="I312" s="2" t="str">
        <x:v>Follow-up requested for a later date.</x:v>
      </x:c>
      <x:c r="J312" s="2" t="str">
        <x:v>Day 21!A12:H12</x:v>
      </x:c>
    </x:row>
    <x:row r="313" ht="23" customHeight="1">
      <x:c r="A313" s="7" t="n">
        <x:v>46224.5</x:v>
      </x:c>
      <x:c r="B313" s="2" t="str">
        <x:v>10:35 AM</x:v>
      </x:c>
      <x:c r="C313" s="2" t="str">
        <x:v>FAKE-21-004</x:v>
      </x:c>
      <x:c r="D313" s="2" t="str">
        <x:f>Settings!$A$16</x:f>
        <x:v>Premium Package</x:v>
      </x:c>
      <x:c r="E313" s="2" t="str">
        <x:v>No sale</x:v>
      </x:c>
      <x:c r="F313" s="11" t="n">
        <x:v>0</x:v>
      </x:c>
      <x:c r="G313" s="12" t="n">
        <x:f>F313*SUMIFS(Settings!$C$14:$C$17,Settings!$A$14:$A$17,D313)</x:f>
        <x:v>0</x:v>
      </x:c>
      <x:c r="H313" s="2" t="str">
        <x:v>No</x:v>
      </x:c>
      <x:c r="I313" s="2" t="str">
        <x:v>No selection made; no follow-up needed.</x:v>
      </x:c>
      <x:c r="J313" s="2" t="str">
        <x:v>Day 21!A13:H13</x:v>
      </x:c>
    </x:row>
    <x:row r="314" ht="23" customHeight="1">
      <x:c r="A314" s="7" t="n">
        <x:v>46224.5</x:v>
      </x:c>
      <x:c r="B314" s="2" t="str">
        <x:v>11:05 AM</x:v>
      </x:c>
      <x:c r="C314" s="2" t="str">
        <x:v>FAKE-21-005</x:v>
      </x:c>
      <x:c r="D314" s="2" t="str">
        <x:f>Settings!$A$15</x:f>
        <x:v>Plus Package</x:v>
      </x:c>
      <x:c r="E314" s="2" t="str">
        <x:v>Completed</x:v>
      </x:c>
      <x:c r="F314" s="11" t="n">
        <x:v>1</x:v>
      </x:c>
      <x:c r="G314" s="12" t="n">
        <x:f>F314*SUMIFS(Settings!$C$14:$C$17,Settings!$A$14:$A$17,D314)</x:f>
        <x:v>1.5</x:v>
      </x:c>
      <x:c r="H314" s="2" t="str">
        <x:v>No</x:v>
      </x:c>
      <x:c r="I314" s="2" t="str">
        <x:v>Completed the fictional selection.</x:v>
      </x:c>
      <x:c r="J314" s="2" t="str">
        <x:v>Day 21!A14:H14</x:v>
      </x:c>
    </x:row>
    <x:row r="315" ht="23" customHeight="1">
      <x:c r="A315" s="7" t="n">
        <x:v>46224.5</x:v>
      </x:c>
      <x:c r="B315" s="2" t="str">
        <x:v>11:35 AM</x:v>
      </x:c>
      <x:c r="C315" s="2" t="str">
        <x:v>FAKE-21-006</x:v>
      </x:c>
      <x:c r="D315" s="2" t="str">
        <x:f>Settings!$A$14</x:f>
        <x:v>Core Package</x:v>
      </x:c>
      <x:c r="E315" s="2" t="str">
        <x:v>Completed</x:v>
      </x:c>
      <x:c r="F315" s="11" t="n">
        <x:v>1</x:v>
      </x:c>
      <x:c r="G315" s="12" t="n">
        <x:f>F315*SUMIFS(Settings!$C$14:$C$17,Settings!$A$14:$A$17,D315)</x:f>
        <x:v>1</x:v>
      </x:c>
      <x:c r="H315" s="2" t="str">
        <x:v>No</x:v>
      </x:c>
      <x:c r="I315" s="2" t="str">
        <x:v>Completed the fictional selection.</x:v>
      </x:c>
      <x:c r="J315" s="2" t="str">
        <x:v>Day 21!A15:H15</x:v>
      </x:c>
    </x:row>
    <x:row r="316" ht="23" customHeight="1">
      <x:c r="A316" s="7" t="n">
        <x:v>46224.5</x:v>
      </x:c>
      <x:c r="B316" s="2" t="str">
        <x:v>12:05 PM</x:v>
      </x:c>
      <x:c r="C316" s="2" t="str">
        <x:v>FAKE-21-007</x:v>
      </x:c>
      <x:c r="D316" s="2" t="str">
        <x:f>Settings!$A$17</x:f>
        <x:v>Optional Add-on</x:v>
      </x:c>
      <x:c r="E316" s="2" t="str">
        <x:v>Completed</x:v>
      </x:c>
      <x:c r="F316" s="11" t="n">
        <x:v>1</x:v>
      </x:c>
      <x:c r="G316" s="12" t="n">
        <x:f>F316*SUMIFS(Settings!$C$14:$C$17,Settings!$A$14:$A$17,D316)</x:f>
        <x:v>0.5</x:v>
      </x:c>
      <x:c r="H316" s="2" t="str">
        <x:v>No</x:v>
      </x:c>
      <x:c r="I316" s="2" t="str">
        <x:v>Completed the fictional selection.</x:v>
      </x:c>
      <x:c r="J316" s="2" t="str">
        <x:v>Day 21!A16:H16</x:v>
      </x:c>
    </x:row>
    <x:row r="317" ht="23" customHeight="1">
      <x:c r="A317" s="7" t="n">
        <x:v>46224.5</x:v>
      </x:c>
      <x:c r="B317" s="2" t="str">
        <x:v>12:35 PM</x:v>
      </x:c>
      <x:c r="C317" s="2" t="str">
        <x:v>FAKE-21-008</x:v>
      </x:c>
      <x:c r="D317" s="2" t="str">
        <x:f>Settings!$A$16</x:f>
        <x:v>Premium Package</x:v>
      </x:c>
      <x:c r="E317" s="2" t="str">
        <x:v>Follow-up</x:v>
      </x:c>
      <x:c r="F317" s="11" t="n">
        <x:v>0</x:v>
      </x:c>
      <x:c r="G317" s="12" t="n">
        <x:f>F317*SUMIFS(Settings!$C$14:$C$17,Settings!$A$14:$A$17,D317)</x:f>
        <x:v>0</x:v>
      </x:c>
      <x:c r="H317" s="2" t="str">
        <x:v>Yes</x:v>
      </x:c>
      <x:c r="I317" s="2" t="str">
        <x:v>Follow-up requested for a later date.</x:v>
      </x:c>
      <x:c r="J317" s="2" t="str">
        <x:v>Day 21!A17:H17</x:v>
      </x:c>
    </x:row>
    <x:row r="318" ht="23" customHeight="1">
      <x:c r="A318" s="7" t="n">
        <x:v>46224.5</x:v>
      </x:c>
      <x:c r="B318" s="2" t="str">
        <x:v>1:05 PM</x:v>
      </x:c>
      <x:c r="C318" s="2" t="str">
        <x:v>FAKE-21-009</x:v>
      </x:c>
      <x:c r="D318" s="2" t="str">
        <x:f>Settings!$A$15</x:f>
        <x:v>Plus Package</x:v>
      </x:c>
      <x:c r="E318" s="2" t="str">
        <x:v>No sale</x:v>
      </x:c>
      <x:c r="F318" s="11" t="n">
        <x:v>0</x:v>
      </x:c>
      <x:c r="G318" s="12" t="n">
        <x:f>F318*SUMIFS(Settings!$C$14:$C$17,Settings!$A$14:$A$17,D318)</x:f>
        <x:v>0</x:v>
      </x:c>
      <x:c r="H318" s="2" t="str">
        <x:v>No</x:v>
      </x:c>
      <x:c r="I318" s="2" t="str">
        <x:v>No selection made; no follow-up needed.</x:v>
      </x:c>
      <x:c r="J318" s="2" t="str">
        <x:v>Day 21!A18:H18</x:v>
      </x:c>
    </x:row>
    <x:row r="319" ht="23" customHeight="1">
      <x:c r="A319" s="7" t="n">
        <x:v>46224.5</x:v>
      </x:c>
      <x:c r="B319" s="2" t="str">
        <x:v>1:35 PM</x:v>
      </x:c>
      <x:c r="C319" s="2" t="str">
        <x:v>FAKE-21-010</x:v>
      </x:c>
      <x:c r="D319" s="2" t="str">
        <x:f>Settings!$A$14</x:f>
        <x:v>Core Package</x:v>
      </x:c>
      <x:c r="E319" s="2" t="str">
        <x:v>Completed</x:v>
      </x:c>
      <x:c r="F319" s="11" t="n">
        <x:v>1</x:v>
      </x:c>
      <x:c r="G319" s="12" t="n">
        <x:f>F319*SUMIFS(Settings!$C$14:$C$17,Settings!$A$14:$A$17,D319)</x:f>
        <x:v>1</x:v>
      </x:c>
      <x:c r="H319" s="2" t="str">
        <x:v>No</x:v>
      </x:c>
      <x:c r="I319" s="2" t="str">
        <x:v>Completed the fictional selection.</x:v>
      </x:c>
      <x:c r="J319" s="2" t="str">
        <x:v>Day 21!A19:H19</x:v>
      </x:c>
    </x:row>
    <x:row r="320" ht="23" customHeight="1">
      <x:c r="A320" s="7" t="n">
        <x:v>46224.5</x:v>
      </x:c>
      <x:c r="B320" s="2" t="str">
        <x:v>2:05 PM</x:v>
      </x:c>
      <x:c r="C320" s="2" t="str">
        <x:v>FAKE-21-011</x:v>
      </x:c>
      <x:c r="D320" s="2" t="str">
        <x:f>Settings!$A$17</x:f>
        <x:v>Optional Add-on</x:v>
      </x:c>
      <x:c r="E320" s="2" t="str">
        <x:v>Completed</x:v>
      </x:c>
      <x:c r="F320" s="11" t="n">
        <x:v>1</x:v>
      </x:c>
      <x:c r="G320" s="12" t="n">
        <x:f>F320*SUMIFS(Settings!$C$14:$C$17,Settings!$A$14:$A$17,D320)</x:f>
        <x:v>0.5</x:v>
      </x:c>
      <x:c r="H320" s="2" t="str">
        <x:v>No</x:v>
      </x:c>
      <x:c r="I320" s="2" t="str">
        <x:v>Completed the fictional selection.</x:v>
      </x:c>
      <x:c r="J320" s="2" t="str">
        <x:v>Day 21!A20:H20</x:v>
      </x:c>
    </x:row>
    <x:row r="321" ht="23" customHeight="1">
      <x:c r="A321" s="7" t="n">
        <x:v>46224.5</x:v>
      </x:c>
      <x:c r="B321" s="2" t="str">
        <x:v>2:35 PM</x:v>
      </x:c>
      <x:c r="C321" s="2" t="str">
        <x:v>FAKE-21-012</x:v>
      </x:c>
      <x:c r="D321" s="2" t="str">
        <x:f>Settings!$A$16</x:f>
        <x:v>Premium Package</x:v>
      </x:c>
      <x:c r="E321" s="2" t="str">
        <x:v>Completed</x:v>
      </x:c>
      <x:c r="F321" s="11" t="n">
        <x:v>1</x:v>
      </x:c>
      <x:c r="G321" s="12" t="n">
        <x:f>F321*SUMIFS(Settings!$C$14:$C$17,Settings!$A$14:$A$17,D321)</x:f>
        <x:v>2</x:v>
      </x:c>
      <x:c r="H321" s="2" t="str">
        <x:v>No</x:v>
      </x:c>
      <x:c r="I321" s="2" t="str">
        <x:v>Completed the fictional selection.</x:v>
      </x:c>
      <x:c r="J321" s="2" t="str">
        <x:v>Day 21!A21:H21</x:v>
      </x:c>
    </x:row>
    <x:row r="322" ht="23" customHeight="1">
      <x:c r="A322" s="7" t="n">
        <x:v>46225.5</x:v>
      </x:c>
      <x:c r="B322" s="2" t="str">
        <x:v>9:05 AM</x:v>
      </x:c>
      <x:c r="C322" s="2" t="str">
        <x:v>FAKE-22-001</x:v>
      </x:c>
      <x:c r="D322" s="2" t="str">
        <x:f>Settings!$A$16</x:f>
        <x:v>Premium Package</x:v>
      </x:c>
      <x:c r="E322" s="2" t="str">
        <x:v>Follow-up</x:v>
      </x:c>
      <x:c r="F322" s="11" t="n">
        <x:v>0</x:v>
      </x:c>
      <x:c r="G322" s="12" t="n">
        <x:f>F322*SUMIFS(Settings!$C$14:$C$17,Settings!$A$14:$A$17,D322)</x:f>
        <x:v>0</x:v>
      </x:c>
      <x:c r="H322" s="2" t="str">
        <x:v>Yes</x:v>
      </x:c>
      <x:c r="I322" s="2" t="str">
        <x:v>Follow-up requested for a later date.</x:v>
      </x:c>
      <x:c r="J322" s="2" t="str">
        <x:v>Day 22!A10:H10</x:v>
      </x:c>
    </x:row>
    <x:row r="323" ht="23" customHeight="1">
      <x:c r="A323" s="7" t="n">
        <x:v>46225.5</x:v>
      </x:c>
      <x:c r="B323" s="2" t="str">
        <x:v>9:35 AM</x:v>
      </x:c>
      <x:c r="C323" s="2" t="str">
        <x:v>FAKE-22-002</x:v>
      </x:c>
      <x:c r="D323" s="2" t="str">
        <x:f>Settings!$A$15</x:f>
        <x:v>Plus Package</x:v>
      </x:c>
      <x:c r="E323" s="2" t="str">
        <x:v>No sale</x:v>
      </x:c>
      <x:c r="F323" s="11" t="n">
        <x:v>0</x:v>
      </x:c>
      <x:c r="G323" s="12" t="n">
        <x:f>F323*SUMIFS(Settings!$C$14:$C$17,Settings!$A$14:$A$17,D323)</x:f>
        <x:v>0</x:v>
      </x:c>
      <x:c r="H323" s="2" t="str">
        <x:v>No</x:v>
      </x:c>
      <x:c r="I323" s="2" t="str">
        <x:v>No selection made; no follow-up needed.</x:v>
      </x:c>
      <x:c r="J323" s="2" t="str">
        <x:v>Day 22!A11:H11</x:v>
      </x:c>
    </x:row>
    <x:row r="324" ht="23" customHeight="1">
      <x:c r="A324" s="7" t="n">
        <x:v>46225.5</x:v>
      </x:c>
      <x:c r="B324" s="2" t="str">
        <x:v>10:05 AM</x:v>
      </x:c>
      <x:c r="C324" s="2" t="str">
        <x:v>FAKE-22-003</x:v>
      </x:c>
      <x:c r="D324" s="2" t="str">
        <x:f>Settings!$A$14</x:f>
        <x:v>Core Package</x:v>
      </x:c>
      <x:c r="E324" s="2" t="str">
        <x:v>Completed</x:v>
      </x:c>
      <x:c r="F324" s="11" t="n">
        <x:v>2</x:v>
      </x:c>
      <x:c r="G324" s="12" t="n">
        <x:f>F324*SUMIFS(Settings!$C$14:$C$17,Settings!$A$14:$A$17,D324)</x:f>
        <x:v>2</x:v>
      </x:c>
      <x:c r="H324" s="2" t="str">
        <x:v>No</x:v>
      </x:c>
      <x:c r="I324" s="2" t="str">
        <x:v>Completed the fictional selection.</x:v>
      </x:c>
      <x:c r="J324" s="2" t="str">
        <x:v>Day 22!A12:H12</x:v>
      </x:c>
    </x:row>
    <x:row r="325" ht="23" customHeight="1">
      <x:c r="A325" s="7" t="n">
        <x:v>46225.5</x:v>
      </x:c>
      <x:c r="B325" s="2" t="str">
        <x:v>10:35 AM</x:v>
      </x:c>
      <x:c r="C325" s="2" t="str">
        <x:v>FAKE-22-004</x:v>
      </x:c>
      <x:c r="D325" s="2" t="str">
        <x:f>Settings!$A$17</x:f>
        <x:v>Optional Add-on</x:v>
      </x:c>
      <x:c r="E325" s="2" t="str">
        <x:v>Completed</x:v>
      </x:c>
      <x:c r="F325" s="11" t="n">
        <x:v>1</x:v>
      </x:c>
      <x:c r="G325" s="12" t="n">
        <x:f>F325*SUMIFS(Settings!$C$14:$C$17,Settings!$A$14:$A$17,D325)</x:f>
        <x:v>0.5</x:v>
      </x:c>
      <x:c r="H325" s="2" t="str">
        <x:v>No</x:v>
      </x:c>
      <x:c r="I325" s="2" t="str">
        <x:v>Completed the fictional selection.</x:v>
      </x:c>
      <x:c r="J325" s="2" t="str">
        <x:v>Day 22!A13:H13</x:v>
      </x:c>
    </x:row>
    <x:row r="326" ht="23" customHeight="1">
      <x:c r="A326" s="7" t="n">
        <x:v>46225.5</x:v>
      </x:c>
      <x:c r="B326" s="2" t="str">
        <x:v>11:05 AM</x:v>
      </x:c>
      <x:c r="C326" s="2" t="str">
        <x:v>FAKE-22-005</x:v>
      </x:c>
      <x:c r="D326" s="2" t="str">
        <x:f>Settings!$A$16</x:f>
        <x:v>Premium Package</x:v>
      </x:c>
      <x:c r="E326" s="2" t="str">
        <x:v>Completed</x:v>
      </x:c>
      <x:c r="F326" s="11" t="n">
        <x:v>1</x:v>
      </x:c>
      <x:c r="G326" s="12" t="n">
        <x:f>F326*SUMIFS(Settings!$C$14:$C$17,Settings!$A$14:$A$17,D326)</x:f>
        <x:v>2</x:v>
      </x:c>
      <x:c r="H326" s="2" t="str">
        <x:v>No</x:v>
      </x:c>
      <x:c r="I326" s="2" t="str">
        <x:v>Completed the fictional selection.</x:v>
      </x:c>
      <x:c r="J326" s="2" t="str">
        <x:v>Day 22!A14:H14</x:v>
      </x:c>
    </x:row>
    <x:row r="327" ht="23" customHeight="1">
      <x:c r="A327" s="7" t="n">
        <x:v>46225.5</x:v>
      </x:c>
      <x:c r="B327" s="2" t="str">
        <x:v>11:35 AM</x:v>
      </x:c>
      <x:c r="C327" s="2" t="str">
        <x:v>FAKE-22-006</x:v>
      </x:c>
      <x:c r="D327" s="2" t="str">
        <x:f>Settings!$A$15</x:f>
        <x:v>Plus Package</x:v>
      </x:c>
      <x:c r="E327" s="2" t="str">
        <x:v>Follow-up</x:v>
      </x:c>
      <x:c r="F327" s="11" t="n">
        <x:v>0</x:v>
      </x:c>
      <x:c r="G327" s="12" t="n">
        <x:f>F327*SUMIFS(Settings!$C$14:$C$17,Settings!$A$14:$A$17,D327)</x:f>
        <x:v>0</x:v>
      </x:c>
      <x:c r="H327" s="2" t="str">
        <x:v>Yes</x:v>
      </x:c>
      <x:c r="I327" s="2" t="str">
        <x:v>Follow-up requested for a later date.</x:v>
      </x:c>
      <x:c r="J327" s="2" t="str">
        <x:v>Day 22!A15:H15</x:v>
      </x:c>
    </x:row>
    <x:row r="328" ht="23" customHeight="1">
      <x:c r="A328" s="7" t="n">
        <x:v>46225.5</x:v>
      </x:c>
      <x:c r="B328" s="2" t="str">
        <x:v>12:05 PM</x:v>
      </x:c>
      <x:c r="C328" s="2" t="str">
        <x:v>FAKE-22-007</x:v>
      </x:c>
      <x:c r="D328" s="2" t="str">
        <x:f>Settings!$A$14</x:f>
        <x:v>Core Package</x:v>
      </x:c>
      <x:c r="E328" s="2" t="str">
        <x:v>No sale</x:v>
      </x:c>
      <x:c r="F328" s="11" t="n">
        <x:v>0</x:v>
      </x:c>
      <x:c r="G328" s="12" t="n">
        <x:f>F328*SUMIFS(Settings!$C$14:$C$17,Settings!$A$14:$A$17,D328)</x:f>
        <x:v>0</x:v>
      </x:c>
      <x:c r="H328" s="2" t="str">
        <x:v>No</x:v>
      </x:c>
      <x:c r="I328" s="2" t="str">
        <x:v>No selection made; no follow-up needed.</x:v>
      </x:c>
      <x:c r="J328" s="2" t="str">
        <x:v>Day 22!A16:H16</x:v>
      </x:c>
    </x:row>
    <x:row r="329" ht="23" customHeight="1">
      <x:c r="A329" s="7" t="n">
        <x:v>46225.5</x:v>
      </x:c>
      <x:c r="B329" s="2" t="str">
        <x:v>12:35 PM</x:v>
      </x:c>
      <x:c r="C329" s="2" t="str">
        <x:v>FAKE-22-008</x:v>
      </x:c>
      <x:c r="D329" s="2" t="str">
        <x:f>Settings!$A$17</x:f>
        <x:v>Optional Add-on</x:v>
      </x:c>
      <x:c r="E329" s="2" t="str">
        <x:v>Completed</x:v>
      </x:c>
      <x:c r="F329" s="11" t="n">
        <x:v>2</x:v>
      </x:c>
      <x:c r="G329" s="12" t="n">
        <x:f>F329*SUMIFS(Settings!$C$14:$C$17,Settings!$A$14:$A$17,D329)</x:f>
        <x:v>1</x:v>
      </x:c>
      <x:c r="H329" s="2" t="str">
        <x:v>No</x:v>
      </x:c>
      <x:c r="I329" s="2" t="str">
        <x:v>Completed the fictional selection.</x:v>
      </x:c>
      <x:c r="J329" s="2" t="str">
        <x:v>Day 22!A17:H17</x:v>
      </x:c>
    </x:row>
    <x:row r="330" ht="23" customHeight="1">
      <x:c r="A330" s="7" t="n">
        <x:v>46225.5</x:v>
      </x:c>
      <x:c r="B330" s="2" t="str">
        <x:v>1:05 PM</x:v>
      </x:c>
      <x:c r="C330" s="2" t="str">
        <x:v>FAKE-22-009</x:v>
      </x:c>
      <x:c r="D330" s="2" t="str">
        <x:f>Settings!$A$16</x:f>
        <x:v>Premium Package</x:v>
      </x:c>
      <x:c r="E330" s="2" t="str">
        <x:v>Completed</x:v>
      </x:c>
      <x:c r="F330" s="11" t="n">
        <x:v>1</x:v>
      </x:c>
      <x:c r="G330" s="12" t="n">
        <x:f>F330*SUMIFS(Settings!$C$14:$C$17,Settings!$A$14:$A$17,D330)</x:f>
        <x:v>2</x:v>
      </x:c>
      <x:c r="H330" s="2" t="str">
        <x:v>No</x:v>
      </x:c>
      <x:c r="I330" s="2" t="str">
        <x:v>Completed the fictional selection.</x:v>
      </x:c>
      <x:c r="J330" s="2" t="str">
        <x:v>Day 22!A18:H18</x:v>
      </x:c>
    </x:row>
    <x:row r="331" ht="23" customHeight="1">
      <x:c r="A331" s="7" t="n">
        <x:v>46225.5</x:v>
      </x:c>
      <x:c r="B331" s="2" t="str">
        <x:v>1:35 PM</x:v>
      </x:c>
      <x:c r="C331" s="2" t="str">
        <x:v>FAKE-22-010</x:v>
      </x:c>
      <x:c r="D331" s="2" t="str">
        <x:f>Settings!$A$15</x:f>
        <x:v>Plus Package</x:v>
      </x:c>
      <x:c r="E331" s="2" t="str">
        <x:v>Completed</x:v>
      </x:c>
      <x:c r="F331" s="11" t="n">
        <x:v>1</x:v>
      </x:c>
      <x:c r="G331" s="12" t="n">
        <x:f>F331*SUMIFS(Settings!$C$14:$C$17,Settings!$A$14:$A$17,D331)</x:f>
        <x:v>1.5</x:v>
      </x:c>
      <x:c r="H331" s="2" t="str">
        <x:v>No</x:v>
      </x:c>
      <x:c r="I331" s="2" t="str">
        <x:v>Completed the fictional selection.</x:v>
      </x:c>
      <x:c r="J331" s="2" t="str">
        <x:v>Day 22!A19:H19</x:v>
      </x:c>
    </x:row>
    <x:row r="332" ht="23" customHeight="1">
      <x:c r="A332" s="7" t="n">
        <x:v>46225.5</x:v>
      </x:c>
      <x:c r="B332" s="2" t="str">
        <x:v>2:05 PM</x:v>
      </x:c>
      <x:c r="C332" s="2" t="str">
        <x:v>FAKE-22-011</x:v>
      </x:c>
      <x:c r="D332" s="2" t="str">
        <x:f>Settings!$A$14</x:f>
        <x:v>Core Package</x:v>
      </x:c>
      <x:c r="E332" s="2" t="str">
        <x:v>Follow-up</x:v>
      </x:c>
      <x:c r="F332" s="11" t="n">
        <x:v>0</x:v>
      </x:c>
      <x:c r="G332" s="12" t="n">
        <x:f>F332*SUMIFS(Settings!$C$14:$C$17,Settings!$A$14:$A$17,D332)</x:f>
        <x:v>0</x:v>
      </x:c>
      <x:c r="H332" s="2" t="str">
        <x:v>Yes</x:v>
      </x:c>
      <x:c r="I332" s="2" t="str">
        <x:v>Follow-up requested for a later date.</x:v>
      </x:c>
      <x:c r="J332" s="2" t="str">
        <x:v>Day 22!A20:H20</x:v>
      </x:c>
    </x:row>
    <x:row r="333" ht="23" customHeight="1">
      <x:c r="A333" s="7" t="n">
        <x:v>46225.5</x:v>
      </x:c>
      <x:c r="B333" s="2" t="str">
        <x:v>2:35 PM</x:v>
      </x:c>
      <x:c r="C333" s="2" t="str">
        <x:v>FAKE-22-012</x:v>
      </x:c>
      <x:c r="D333" s="2" t="str">
        <x:f>Settings!$A$17</x:f>
        <x:v>Optional Add-on</x:v>
      </x:c>
      <x:c r="E333" s="2" t="str">
        <x:v>No sale</x:v>
      </x:c>
      <x:c r="F333" s="11" t="n">
        <x:v>0</x:v>
      </x:c>
      <x:c r="G333" s="12" t="n">
        <x:f>F333*SUMIFS(Settings!$C$14:$C$17,Settings!$A$14:$A$17,D333)</x:f>
        <x:v>0</x:v>
      </x:c>
      <x:c r="H333" s="2" t="str">
        <x:v>No</x:v>
      </x:c>
      <x:c r="I333" s="2" t="str">
        <x:v>No selection made; no follow-up needed.</x:v>
      </x:c>
      <x:c r="J333" s="2" t="str">
        <x:v>Day 22!A21:H21</x:v>
      </x:c>
    </x:row>
    <x:row r="334" ht="23" customHeight="1">
      <x:c r="A334" s="7" t="n">
        <x:v>46225.5</x:v>
      </x:c>
      <x:c r="B334" s="2" t="str">
        <x:v>3:05 PM</x:v>
      </x:c>
      <x:c r="C334" s="2" t="str">
        <x:v>FAKE-22-013</x:v>
      </x:c>
      <x:c r="D334" s="2" t="str">
        <x:f>Settings!$A$16</x:f>
        <x:v>Premium Package</x:v>
      </x:c>
      <x:c r="E334" s="2" t="str">
        <x:v>Completed</x:v>
      </x:c>
      <x:c r="F334" s="11" t="n">
        <x:v>2</x:v>
      </x:c>
      <x:c r="G334" s="12" t="n">
        <x:f>F334*SUMIFS(Settings!$C$14:$C$17,Settings!$A$14:$A$17,D334)</x:f>
        <x:v>4</x:v>
      </x:c>
      <x:c r="H334" s="2" t="str">
        <x:v>No</x:v>
      </x:c>
      <x:c r="I334" s="2" t="str">
        <x:v>Completed the fictional selection.</x:v>
      </x:c>
      <x:c r="J334" s="2" t="str">
        <x:v>Day 22!A22:H22</x:v>
      </x:c>
    </x:row>
    <x:row r="335" ht="23" customHeight="1">
      <x:c r="A335" s="7" t="n">
        <x:v>46225.5</x:v>
      </x:c>
      <x:c r="B335" s="2" t="str">
        <x:v>3:35 PM</x:v>
      </x:c>
      <x:c r="C335" s="2" t="str">
        <x:v>FAKE-22-014</x:v>
      </x:c>
      <x:c r="D335" s="2" t="str">
        <x:f>Settings!$A$15</x:f>
        <x:v>Plus Package</x:v>
      </x:c>
      <x:c r="E335" s="2" t="str">
        <x:v>Completed</x:v>
      </x:c>
      <x:c r="F335" s="11" t="n">
        <x:v>1</x:v>
      </x:c>
      <x:c r="G335" s="12" t="n">
        <x:f>F335*SUMIFS(Settings!$C$14:$C$17,Settings!$A$14:$A$17,D335)</x:f>
        <x:v>1.5</x:v>
      </x:c>
      <x:c r="H335" s="2" t="str">
        <x:v>No</x:v>
      </x:c>
      <x:c r="I335" s="2" t="str">
        <x:v>Completed the fictional selection.</x:v>
      </x:c>
      <x:c r="J335" s="2" t="str">
        <x:v>Day 22!A23:H23</x:v>
      </x:c>
    </x:row>
    <x:row r="336" ht="23" customHeight="1">
      <x:c r="A336" s="7" t="n">
        <x:v>46225.5</x:v>
      </x:c>
      <x:c r="B336" s="2" t="str">
        <x:v>4:05 PM</x:v>
      </x:c>
      <x:c r="C336" s="2" t="str">
        <x:v>FAKE-22-015</x:v>
      </x:c>
      <x:c r="D336" s="2" t="str">
        <x:f>Settings!$A$14</x:f>
        <x:v>Core Package</x:v>
      </x:c>
      <x:c r="E336" s="2" t="str">
        <x:v>Completed</x:v>
      </x:c>
      <x:c r="F336" s="11" t="n">
        <x:v>1</x:v>
      </x:c>
      <x:c r="G336" s="12" t="n">
        <x:f>F336*SUMIFS(Settings!$C$14:$C$17,Settings!$A$14:$A$17,D336)</x:f>
        <x:v>1</x:v>
      </x:c>
      <x:c r="H336" s="2" t="str">
        <x:v>No</x:v>
      </x:c>
      <x:c r="I336" s="2" t="str">
        <x:v>Completed the fictional selection.</x:v>
      </x:c>
      <x:c r="J336" s="2" t="str">
        <x:v>Day 22!A24:H24</x:v>
      </x:c>
    </x:row>
    <x:row r="337" ht="23" customHeight="1">
      <x:c r="A337" s="7" t="n">
        <x:v>46225.5</x:v>
      </x:c>
      <x:c r="B337" s="2" t="str">
        <x:v>4:35 PM</x:v>
      </x:c>
      <x:c r="C337" s="2" t="str">
        <x:v>FAKE-22-016</x:v>
      </x:c>
      <x:c r="D337" s="2" t="str">
        <x:f>Settings!$A$17</x:f>
        <x:v>Optional Add-on</x:v>
      </x:c>
      <x:c r="E337" s="2" t="str">
        <x:v>Follow-up</x:v>
      </x:c>
      <x:c r="F337" s="11" t="n">
        <x:v>0</x:v>
      </x:c>
      <x:c r="G337" s="12" t="n">
        <x:f>F337*SUMIFS(Settings!$C$14:$C$17,Settings!$A$14:$A$17,D337)</x:f>
        <x:v>0</x:v>
      </x:c>
      <x:c r="H337" s="2" t="str">
        <x:v>Yes</x:v>
      </x:c>
      <x:c r="I337" s="2" t="str">
        <x:v>Follow-up requested for a later date.</x:v>
      </x:c>
      <x:c r="J337" s="2" t="str">
        <x:v>Day 22!A25:H25</x:v>
      </x:c>
    </x:row>
    <x:row r="338" ht="23" customHeight="1">
      <x:c r="A338" s="7" t="n">
        <x:v>46225.5</x:v>
      </x:c>
      <x:c r="B338" s="2" t="str">
        <x:v>5:05 PM</x:v>
      </x:c>
      <x:c r="C338" s="2" t="str">
        <x:v>FAKE-22-017</x:v>
      </x:c>
      <x:c r="D338" s="2" t="str">
        <x:f>Settings!$A$16</x:f>
        <x:v>Premium Package</x:v>
      </x:c>
      <x:c r="E338" s="2" t="str">
        <x:v>No sale</x:v>
      </x:c>
      <x:c r="F338" s="11" t="n">
        <x:v>0</x:v>
      </x:c>
      <x:c r="G338" s="12" t="n">
        <x:f>F338*SUMIFS(Settings!$C$14:$C$17,Settings!$A$14:$A$17,D338)</x:f>
        <x:v>0</x:v>
      </x:c>
      <x:c r="H338" s="2" t="str">
        <x:v>No</x:v>
      </x:c>
      <x:c r="I338" s="2" t="str">
        <x:v>No selection made; no follow-up needed.</x:v>
      </x:c>
      <x:c r="J338" s="2" t="str">
        <x:v>Day 22!A26:H26</x:v>
      </x:c>
    </x:row>
    <x:row r="339" ht="23" customHeight="1">
      <x:c r="A339" s="7" t="n">
        <x:v>46226.5</x:v>
      </x:c>
      <x:c r="B339" s="2" t="str">
        <x:v>9:05 AM</x:v>
      </x:c>
      <x:c r="C339" s="2" t="str">
        <x:v>FAKE-23-001</x:v>
      </x:c>
      <x:c r="D339" s="2" t="str">
        <x:f>Settings!$A$17</x:f>
        <x:v>Optional Add-on</x:v>
      </x:c>
      <x:c r="E339" s="2" t="str">
        <x:v>No sale</x:v>
      </x:c>
      <x:c r="F339" s="11" t="n">
        <x:v>0</x:v>
      </x:c>
      <x:c r="G339" s="12" t="n">
        <x:f>F339*SUMIFS(Settings!$C$14:$C$17,Settings!$A$14:$A$17,D339)</x:f>
        <x:v>0</x:v>
      </x:c>
      <x:c r="H339" s="2" t="str">
        <x:v>No</x:v>
      </x:c>
      <x:c r="I339" s="2" t="str">
        <x:v>No selection made; no follow-up needed.</x:v>
      </x:c>
      <x:c r="J339" s="2" t="str">
        <x:v>Day 23!A10:H10</x:v>
      </x:c>
    </x:row>
    <x:row r="340" ht="23" customHeight="1">
      <x:c r="A340" s="7" t="n">
        <x:v>46226.5</x:v>
      </x:c>
      <x:c r="B340" s="2" t="str">
        <x:v>9:35 AM</x:v>
      </x:c>
      <x:c r="C340" s="2" t="str">
        <x:v>FAKE-23-002</x:v>
      </x:c>
      <x:c r="D340" s="2" t="str">
        <x:f>Settings!$A$16</x:f>
        <x:v>Premium Package</x:v>
      </x:c>
      <x:c r="E340" s="2" t="str">
        <x:v>Completed</x:v>
      </x:c>
      <x:c r="F340" s="11" t="n">
        <x:v>1</x:v>
      </x:c>
      <x:c r="G340" s="12" t="n">
        <x:f>F340*SUMIFS(Settings!$C$14:$C$17,Settings!$A$14:$A$17,D340)</x:f>
        <x:v>2</x:v>
      </x:c>
      <x:c r="H340" s="2" t="str">
        <x:v>No</x:v>
      </x:c>
      <x:c r="I340" s="2" t="str">
        <x:v>Completed the fictional selection.</x:v>
      </x:c>
      <x:c r="J340" s="2" t="str">
        <x:v>Day 23!A11:H11</x:v>
      </x:c>
    </x:row>
    <x:row r="341" ht="23" customHeight="1">
      <x:c r="A341" s="7" t="n">
        <x:v>46226.5</x:v>
      </x:c>
      <x:c r="B341" s="2" t="str">
        <x:v>10:05 AM</x:v>
      </x:c>
      <x:c r="C341" s="2" t="str">
        <x:v>FAKE-23-003</x:v>
      </x:c>
      <x:c r="D341" s="2" t="str">
        <x:f>Settings!$A$15</x:f>
        <x:v>Plus Package</x:v>
      </x:c>
      <x:c r="E341" s="2" t="str">
        <x:v>Completed</x:v>
      </x:c>
      <x:c r="F341" s="11" t="n">
        <x:v>1</x:v>
      </x:c>
      <x:c r="G341" s="12" t="n">
        <x:f>F341*SUMIFS(Settings!$C$14:$C$17,Settings!$A$14:$A$17,D341)</x:f>
        <x:v>1.5</x:v>
      </x:c>
      <x:c r="H341" s="2" t="str">
        <x:v>No</x:v>
      </x:c>
      <x:c r="I341" s="2" t="str">
        <x:v>Completed the fictional selection.</x:v>
      </x:c>
      <x:c r="J341" s="2" t="str">
        <x:v>Day 23!A12:H12</x:v>
      </x:c>
    </x:row>
    <x:row r="342" ht="23" customHeight="1">
      <x:c r="A342" s="7" t="n">
        <x:v>46226.5</x:v>
      </x:c>
      <x:c r="B342" s="2" t="str">
        <x:v>10:35 AM</x:v>
      </x:c>
      <x:c r="C342" s="2" t="str">
        <x:v>FAKE-23-004</x:v>
      </x:c>
      <x:c r="D342" s="2" t="str">
        <x:f>Settings!$A$14</x:f>
        <x:v>Core Package</x:v>
      </x:c>
      <x:c r="E342" s="2" t="str">
        <x:v>Completed</x:v>
      </x:c>
      <x:c r="F342" s="11" t="n">
        <x:v>1</x:v>
      </x:c>
      <x:c r="G342" s="12" t="n">
        <x:f>F342*SUMIFS(Settings!$C$14:$C$17,Settings!$A$14:$A$17,D342)</x:f>
        <x:v>1</x:v>
      </x:c>
      <x:c r="H342" s="2" t="str">
        <x:v>No</x:v>
      </x:c>
      <x:c r="I342" s="2" t="str">
        <x:v>Completed the fictional selection.</x:v>
      </x:c>
      <x:c r="J342" s="2" t="str">
        <x:v>Day 23!A13:H13</x:v>
      </x:c>
    </x:row>
    <x:row r="343" ht="23" customHeight="1">
      <x:c r="A343" s="7" t="n">
        <x:v>46226.5</x:v>
      </x:c>
      <x:c r="B343" s="2" t="str">
        <x:v>11:05 AM</x:v>
      </x:c>
      <x:c r="C343" s="2" t="str">
        <x:v>FAKE-23-005</x:v>
      </x:c>
      <x:c r="D343" s="2" t="str">
        <x:f>Settings!$A$17</x:f>
        <x:v>Optional Add-on</x:v>
      </x:c>
      <x:c r="E343" s="2" t="str">
        <x:v>Follow-up</x:v>
      </x:c>
      <x:c r="F343" s="11" t="n">
        <x:v>0</x:v>
      </x:c>
      <x:c r="G343" s="12" t="n">
        <x:f>F343*SUMIFS(Settings!$C$14:$C$17,Settings!$A$14:$A$17,D343)</x:f>
        <x:v>0</x:v>
      </x:c>
      <x:c r="H343" s="2" t="str">
        <x:v>Yes</x:v>
      </x:c>
      <x:c r="I343" s="2" t="str">
        <x:v>Follow-up requested for a later date.</x:v>
      </x:c>
      <x:c r="J343" s="2" t="str">
        <x:v>Day 23!A14:H14</x:v>
      </x:c>
    </x:row>
    <x:row r="344" ht="23" customHeight="1">
      <x:c r="A344" s="7" t="n">
        <x:v>46226.5</x:v>
      </x:c>
      <x:c r="B344" s="2" t="str">
        <x:v>11:35 AM</x:v>
      </x:c>
      <x:c r="C344" s="2" t="str">
        <x:v>FAKE-23-006</x:v>
      </x:c>
      <x:c r="D344" s="2" t="str">
        <x:f>Settings!$A$16</x:f>
        <x:v>Premium Package</x:v>
      </x:c>
      <x:c r="E344" s="2" t="str">
        <x:v>No sale</x:v>
      </x:c>
      <x:c r="F344" s="11" t="n">
        <x:v>0</x:v>
      </x:c>
      <x:c r="G344" s="12" t="n">
        <x:f>F344*SUMIFS(Settings!$C$14:$C$17,Settings!$A$14:$A$17,D344)</x:f>
        <x:v>0</x:v>
      </x:c>
      <x:c r="H344" s="2" t="str">
        <x:v>No</x:v>
      </x:c>
      <x:c r="I344" s="2" t="str">
        <x:v>No selection made; no follow-up needed.</x:v>
      </x:c>
      <x:c r="J344" s="2" t="str">
        <x:v>Day 23!A15:H15</x:v>
      </x:c>
    </x:row>
    <x:row r="345" ht="23" customHeight="1">
      <x:c r="A345" s="7" t="n">
        <x:v>46226.5</x:v>
      </x:c>
      <x:c r="B345" s="2" t="str">
        <x:v>12:05 PM</x:v>
      </x:c>
      <x:c r="C345" s="2" t="str">
        <x:v>FAKE-23-007</x:v>
      </x:c>
      <x:c r="D345" s="2" t="str">
        <x:f>Settings!$A$15</x:f>
        <x:v>Plus Package</x:v>
      </x:c>
      <x:c r="E345" s="2" t="str">
        <x:v>Completed</x:v>
      </x:c>
      <x:c r="F345" s="11" t="n">
        <x:v>1</x:v>
      </x:c>
      <x:c r="G345" s="12" t="n">
        <x:f>F345*SUMIFS(Settings!$C$14:$C$17,Settings!$A$14:$A$17,D345)</x:f>
        <x:v>1.5</x:v>
      </x:c>
      <x:c r="H345" s="2" t="str">
        <x:v>No</x:v>
      </x:c>
      <x:c r="I345" s="2" t="str">
        <x:v>Completed the fictional selection.</x:v>
      </x:c>
      <x:c r="J345" s="2" t="str">
        <x:v>Day 23!A16:H16</x:v>
      </x:c>
    </x:row>
    <x:row r="346" ht="23" customHeight="1">
      <x:c r="A346" s="7" t="n">
        <x:v>46226.5</x:v>
      </x:c>
      <x:c r="B346" s="2" t="str">
        <x:v>12:35 PM</x:v>
      </x:c>
      <x:c r="C346" s="2" t="str">
        <x:v>FAKE-23-008</x:v>
      </x:c>
      <x:c r="D346" s="2" t="str">
        <x:f>Settings!$A$14</x:f>
        <x:v>Core Package</x:v>
      </x:c>
      <x:c r="E346" s="2" t="str">
        <x:v>Completed</x:v>
      </x:c>
      <x:c r="F346" s="11" t="n">
        <x:v>1</x:v>
      </x:c>
      <x:c r="G346" s="12" t="n">
        <x:f>F346*SUMIFS(Settings!$C$14:$C$17,Settings!$A$14:$A$17,D346)</x:f>
        <x:v>1</x:v>
      </x:c>
      <x:c r="H346" s="2" t="str">
        <x:v>No</x:v>
      </x:c>
      <x:c r="I346" s="2" t="str">
        <x:v>Completed the fictional selection.</x:v>
      </x:c>
      <x:c r="J346" s="2" t="str">
        <x:v>Day 23!A17:H17</x:v>
      </x:c>
    </x:row>
    <x:row r="347" ht="23" customHeight="1">
      <x:c r="A347" s="7" t="n">
        <x:v>46226.5</x:v>
      </x:c>
      <x:c r="B347" s="2" t="str">
        <x:v>1:05 PM</x:v>
      </x:c>
      <x:c r="C347" s="2" t="str">
        <x:v>FAKE-23-009</x:v>
      </x:c>
      <x:c r="D347" s="2" t="str">
        <x:f>Settings!$A$17</x:f>
        <x:v>Optional Add-on</x:v>
      </x:c>
      <x:c r="E347" s="2" t="str">
        <x:v>Completed</x:v>
      </x:c>
      <x:c r="F347" s="11" t="n">
        <x:v>1</x:v>
      </x:c>
      <x:c r="G347" s="12" t="n">
        <x:f>F347*SUMIFS(Settings!$C$14:$C$17,Settings!$A$14:$A$17,D347)</x:f>
        <x:v>0.5</x:v>
      </x:c>
      <x:c r="H347" s="2" t="str">
        <x:v>No</x:v>
      </x:c>
      <x:c r="I347" s="2" t="str">
        <x:v>Completed the fictional selection.</x:v>
      </x:c>
      <x:c r="J347" s="2" t="str">
        <x:v>Day 23!A18:H18</x:v>
      </x:c>
    </x:row>
    <x:row r="348" ht="23" customHeight="1">
      <x:c r="A348" s="7" t="n">
        <x:v>46226.5</x:v>
      </x:c>
      <x:c r="B348" s="2" t="str">
        <x:v>1:35 PM</x:v>
      </x:c>
      <x:c r="C348" s="2" t="str">
        <x:v>FAKE-23-010</x:v>
      </x:c>
      <x:c r="D348" s="2" t="str">
        <x:f>Settings!$A$16</x:f>
        <x:v>Premium Package</x:v>
      </x:c>
      <x:c r="E348" s="2" t="str">
        <x:v>Follow-up</x:v>
      </x:c>
      <x:c r="F348" s="11" t="n">
        <x:v>0</x:v>
      </x:c>
      <x:c r="G348" s="12" t="n">
        <x:f>F348*SUMIFS(Settings!$C$14:$C$17,Settings!$A$14:$A$17,D348)</x:f>
        <x:v>0</x:v>
      </x:c>
      <x:c r="H348" s="2" t="str">
        <x:v>Yes</x:v>
      </x:c>
      <x:c r="I348" s="2" t="str">
        <x:v>Follow-up requested for a later date.</x:v>
      </x:c>
      <x:c r="J348" s="2" t="str">
        <x:v>Day 23!A19:H19</x:v>
      </x:c>
    </x:row>
    <x:row r="349" ht="23" customHeight="1">
      <x:c r="A349" s="7" t="n">
        <x:v>46226.5</x:v>
      </x:c>
      <x:c r="B349" s="2" t="str">
        <x:v>2:05 PM</x:v>
      </x:c>
      <x:c r="C349" s="2" t="str">
        <x:v>FAKE-23-011</x:v>
      </x:c>
      <x:c r="D349" s="2" t="str">
        <x:f>Settings!$A$15</x:f>
        <x:v>Plus Package</x:v>
      </x:c>
      <x:c r="E349" s="2" t="str">
        <x:v>No sale</x:v>
      </x:c>
      <x:c r="F349" s="11" t="n">
        <x:v>0</x:v>
      </x:c>
      <x:c r="G349" s="12" t="n">
        <x:f>F349*SUMIFS(Settings!$C$14:$C$17,Settings!$A$14:$A$17,D349)</x:f>
        <x:v>0</x:v>
      </x:c>
      <x:c r="H349" s="2" t="str">
        <x:v>No</x:v>
      </x:c>
      <x:c r="I349" s="2" t="str">
        <x:v>No selection made; no follow-up needed.</x:v>
      </x:c>
      <x:c r="J349" s="2" t="str">
        <x:v>Day 23!A20:H20</x:v>
      </x:c>
    </x:row>
    <x:row r="350" ht="23" customHeight="1">
      <x:c r="A350" s="7" t="n">
        <x:v>46226.5</x:v>
      </x:c>
      <x:c r="B350" s="2" t="str">
        <x:v>2:35 PM</x:v>
      </x:c>
      <x:c r="C350" s="2" t="str">
        <x:v>FAKE-23-012</x:v>
      </x:c>
      <x:c r="D350" s="2" t="str">
        <x:f>Settings!$A$14</x:f>
        <x:v>Core Package</x:v>
      </x:c>
      <x:c r="E350" s="2" t="str">
        <x:v>Completed</x:v>
      </x:c>
      <x:c r="F350" s="11" t="n">
        <x:v>1</x:v>
      </x:c>
      <x:c r="G350" s="12" t="n">
        <x:f>F350*SUMIFS(Settings!$C$14:$C$17,Settings!$A$14:$A$17,D350)</x:f>
        <x:v>1</x:v>
      </x:c>
      <x:c r="H350" s="2" t="str">
        <x:v>No</x:v>
      </x:c>
      <x:c r="I350" s="2" t="str">
        <x:v>Completed the fictional selection.</x:v>
      </x:c>
      <x:c r="J350" s="2" t="str">
        <x:v>Day 23!A21:H21</x:v>
      </x:c>
    </x:row>
    <x:row r="351" ht="23" customHeight="1">
      <x:c r="A351" s="7" t="n">
        <x:v>46226.5</x:v>
      </x:c>
      <x:c r="B351" s="2" t="str">
        <x:v>3:05 PM</x:v>
      </x:c>
      <x:c r="C351" s="2" t="str">
        <x:v>FAKE-23-013</x:v>
      </x:c>
      <x:c r="D351" s="2" t="str">
        <x:f>Settings!$A$17</x:f>
        <x:v>Optional Add-on</x:v>
      </x:c>
      <x:c r="E351" s="2" t="str">
        <x:v>Completed</x:v>
      </x:c>
      <x:c r="F351" s="11" t="n">
        <x:v>1</x:v>
      </x:c>
      <x:c r="G351" s="12" t="n">
        <x:f>F351*SUMIFS(Settings!$C$14:$C$17,Settings!$A$14:$A$17,D351)</x:f>
        <x:v>0.5</x:v>
      </x:c>
      <x:c r="H351" s="2" t="str">
        <x:v>No</x:v>
      </x:c>
      <x:c r="I351" s="2" t="str">
        <x:v>Completed the fictional selection.</x:v>
      </x:c>
      <x:c r="J351" s="2" t="str">
        <x:v>Day 23!A22:H22</x:v>
      </x:c>
    </x:row>
    <x:row r="352" ht="23" customHeight="1">
      <x:c r="A352" s="7" t="n">
        <x:v>46226.5</x:v>
      </x:c>
      <x:c r="B352" s="2" t="str">
        <x:v>3:35 PM</x:v>
      </x:c>
      <x:c r="C352" s="2" t="str">
        <x:v>FAKE-23-014</x:v>
      </x:c>
      <x:c r="D352" s="2" t="str">
        <x:f>Settings!$A$16</x:f>
        <x:v>Premium Package</x:v>
      </x:c>
      <x:c r="E352" s="2" t="str">
        <x:v>Completed</x:v>
      </x:c>
      <x:c r="F352" s="11" t="n">
        <x:v>1</x:v>
      </x:c>
      <x:c r="G352" s="12" t="n">
        <x:f>F352*SUMIFS(Settings!$C$14:$C$17,Settings!$A$14:$A$17,D352)</x:f>
        <x:v>2</x:v>
      </x:c>
      <x:c r="H352" s="2" t="str">
        <x:v>No</x:v>
      </x:c>
      <x:c r="I352" s="2" t="str">
        <x:v>Completed the fictional selection.</x:v>
      </x:c>
      <x:c r="J352" s="2" t="str">
        <x:v>Day 23!A23:H23</x:v>
      </x:c>
    </x:row>
    <x:row r="353" ht="23" customHeight="1">
      <x:c r="A353" s="7" t="n">
        <x:v>46226.5</x:v>
      </x:c>
      <x:c r="B353" s="2" t="str">
        <x:v>4:05 PM</x:v>
      </x:c>
      <x:c r="C353" s="2" t="str">
        <x:v>FAKE-23-015</x:v>
      </x:c>
      <x:c r="D353" s="2" t="str">
        <x:f>Settings!$A$15</x:f>
        <x:v>Plus Package</x:v>
      </x:c>
      <x:c r="E353" s="2" t="str">
        <x:v>Follow-up</x:v>
      </x:c>
      <x:c r="F353" s="11" t="n">
        <x:v>0</x:v>
      </x:c>
      <x:c r="G353" s="12" t="n">
        <x:f>F353*SUMIFS(Settings!$C$14:$C$17,Settings!$A$14:$A$17,D353)</x:f>
        <x:v>0</x:v>
      </x:c>
      <x:c r="H353" s="2" t="str">
        <x:v>Yes</x:v>
      </x:c>
      <x:c r="I353" s="2" t="str">
        <x:v>Follow-up requested for a later date.</x:v>
      </x:c>
      <x:c r="J353" s="2" t="str">
        <x:v>Day 23!A24:H24</x:v>
      </x:c>
    </x:row>
    <x:row r="354" ht="23" customHeight="1">
      <x:c r="A354" s="7" t="n">
        <x:v>46227.5</x:v>
      </x:c>
      <x:c r="B354" s="2" t="str">
        <x:v>9:05 AM</x:v>
      </x:c>
      <x:c r="C354" s="2" t="str">
        <x:v>FAKE-24-001</x:v>
      </x:c>
      <x:c r="D354" s="2" t="str">
        <x:f>Settings!$A$14</x:f>
        <x:v>Core Package</x:v>
      </x:c>
      <x:c r="E354" s="2" t="str">
        <x:v>Completed</x:v>
      </x:c>
      <x:c r="F354" s="11" t="n">
        <x:v>1</x:v>
      </x:c>
      <x:c r="G354" s="12" t="n">
        <x:f>F354*SUMIFS(Settings!$C$14:$C$17,Settings!$A$14:$A$17,D354)</x:f>
        <x:v>1</x:v>
      </x:c>
      <x:c r="H354" s="2" t="str">
        <x:v>No</x:v>
      </x:c>
      <x:c r="I354" s="2" t="str">
        <x:v>Completed the fictional selection.</x:v>
      </x:c>
      <x:c r="J354" s="2" t="str">
        <x:v>Day 24!A10:H10</x:v>
      </x:c>
    </x:row>
    <x:row r="355" ht="23" customHeight="1">
      <x:c r="A355" s="7" t="n">
        <x:v>46227.5</x:v>
      </x:c>
      <x:c r="B355" s="2" t="str">
        <x:v>9:35 AM</x:v>
      </x:c>
      <x:c r="C355" s="2" t="str">
        <x:v>FAKE-24-002</x:v>
      </x:c>
      <x:c r="D355" s="2" t="str">
        <x:f>Settings!$A$17</x:f>
        <x:v>Optional Add-on</x:v>
      </x:c>
      <x:c r="E355" s="2" t="str">
        <x:v>Completed</x:v>
      </x:c>
      <x:c r="F355" s="11" t="n">
        <x:v>1</x:v>
      </x:c>
      <x:c r="G355" s="12" t="n">
        <x:f>F355*SUMIFS(Settings!$C$14:$C$17,Settings!$A$14:$A$17,D355)</x:f>
        <x:v>0.5</x:v>
      </x:c>
      <x:c r="H355" s="2" t="str">
        <x:v>No</x:v>
      </x:c>
      <x:c r="I355" s="2" t="str">
        <x:v>Completed the fictional selection.</x:v>
      </x:c>
      <x:c r="J355" s="2" t="str">
        <x:v>Day 24!A11:H11</x:v>
      </x:c>
    </x:row>
    <x:row r="356" ht="23" customHeight="1">
      <x:c r="A356" s="7" t="n">
        <x:v>46227.5</x:v>
      </x:c>
      <x:c r="B356" s="2" t="str">
        <x:v>10:05 AM</x:v>
      </x:c>
      <x:c r="C356" s="2" t="str">
        <x:v>FAKE-24-003</x:v>
      </x:c>
      <x:c r="D356" s="2" t="str">
        <x:f>Settings!$A$16</x:f>
        <x:v>Premium Package</x:v>
      </x:c>
      <x:c r="E356" s="2" t="str">
        <x:v>Follow-up</x:v>
      </x:c>
      <x:c r="F356" s="11" t="n">
        <x:v>0</x:v>
      </x:c>
      <x:c r="G356" s="12" t="n">
        <x:f>F356*SUMIFS(Settings!$C$14:$C$17,Settings!$A$14:$A$17,D356)</x:f>
        <x:v>0</x:v>
      </x:c>
      <x:c r="H356" s="2" t="str">
        <x:v>Yes</x:v>
      </x:c>
      <x:c r="I356" s="2" t="str">
        <x:v>Follow-up requested for a later date.</x:v>
      </x:c>
      <x:c r="J356" s="2" t="str">
        <x:v>Day 24!A12:H12</x:v>
      </x:c>
    </x:row>
    <x:row r="357" ht="23" customHeight="1">
      <x:c r="A357" s="7" t="n">
        <x:v>46227.5</x:v>
      </x:c>
      <x:c r="B357" s="2" t="str">
        <x:v>10:35 AM</x:v>
      </x:c>
      <x:c r="C357" s="2" t="str">
        <x:v>FAKE-24-004</x:v>
      </x:c>
      <x:c r="D357" s="2" t="str">
        <x:f>Settings!$A$15</x:f>
        <x:v>Plus Package</x:v>
      </x:c>
      <x:c r="E357" s="2" t="str">
        <x:v>No sale</x:v>
      </x:c>
      <x:c r="F357" s="11" t="n">
        <x:v>0</x:v>
      </x:c>
      <x:c r="G357" s="12" t="n">
        <x:f>F357*SUMIFS(Settings!$C$14:$C$17,Settings!$A$14:$A$17,D357)</x:f>
        <x:v>0</x:v>
      </x:c>
      <x:c r="H357" s="2" t="str">
        <x:v>No</x:v>
      </x:c>
      <x:c r="I357" s="2" t="str">
        <x:v>No selection made; no follow-up needed.</x:v>
      </x:c>
      <x:c r="J357" s="2" t="str">
        <x:v>Day 24!A13:H13</x:v>
      </x:c>
    </x:row>
    <x:row r="358" ht="23" customHeight="1">
      <x:c r="A358" s="7" t="n">
        <x:v>46227.5</x:v>
      </x:c>
      <x:c r="B358" s="2" t="str">
        <x:v>11:05 AM</x:v>
      </x:c>
      <x:c r="C358" s="2" t="str">
        <x:v>FAKE-24-005</x:v>
      </x:c>
      <x:c r="D358" s="2" t="str">
        <x:f>Settings!$A$14</x:f>
        <x:v>Core Package</x:v>
      </x:c>
      <x:c r="E358" s="2" t="str">
        <x:v>Completed</x:v>
      </x:c>
      <x:c r="F358" s="11" t="n">
        <x:v>2</x:v>
      </x:c>
      <x:c r="G358" s="12" t="n">
        <x:f>F358*SUMIFS(Settings!$C$14:$C$17,Settings!$A$14:$A$17,D358)</x:f>
        <x:v>2</x:v>
      </x:c>
      <x:c r="H358" s="2" t="str">
        <x:v>No</x:v>
      </x:c>
      <x:c r="I358" s="2" t="str">
        <x:v>Completed the fictional selection.</x:v>
      </x:c>
      <x:c r="J358" s="2" t="str">
        <x:v>Day 24!A14:H14</x:v>
      </x:c>
    </x:row>
    <x:row r="359" ht="23" customHeight="1">
      <x:c r="A359" s="7" t="n">
        <x:v>46227.5</x:v>
      </x:c>
      <x:c r="B359" s="2" t="str">
        <x:v>11:35 AM</x:v>
      </x:c>
      <x:c r="C359" s="2" t="str">
        <x:v>FAKE-24-006</x:v>
      </x:c>
      <x:c r="D359" s="2" t="str">
        <x:f>Settings!$A$17</x:f>
        <x:v>Optional Add-on</x:v>
      </x:c>
      <x:c r="E359" s="2" t="str">
        <x:v>Completed</x:v>
      </x:c>
      <x:c r="F359" s="11" t="n">
        <x:v>1</x:v>
      </x:c>
      <x:c r="G359" s="12" t="n">
        <x:f>F359*SUMIFS(Settings!$C$14:$C$17,Settings!$A$14:$A$17,D359)</x:f>
        <x:v>0.5</x:v>
      </x:c>
      <x:c r="H359" s="2" t="str">
        <x:v>No</x:v>
      </x:c>
      <x:c r="I359" s="2" t="str">
        <x:v>Completed the fictional selection.</x:v>
      </x:c>
      <x:c r="J359" s="2" t="str">
        <x:v>Day 24!A15:H15</x:v>
      </x:c>
    </x:row>
    <x:row r="360" ht="23" customHeight="1">
      <x:c r="A360" s="7" t="n">
        <x:v>46227.5</x:v>
      </x:c>
      <x:c r="B360" s="2" t="str">
        <x:v>12:05 PM</x:v>
      </x:c>
      <x:c r="C360" s="2" t="str">
        <x:v>FAKE-24-007</x:v>
      </x:c>
      <x:c r="D360" s="2" t="str">
        <x:f>Settings!$A$16</x:f>
        <x:v>Premium Package</x:v>
      </x:c>
      <x:c r="E360" s="2" t="str">
        <x:v>Completed</x:v>
      </x:c>
      <x:c r="F360" s="11" t="n">
        <x:v>1</x:v>
      </x:c>
      <x:c r="G360" s="12" t="n">
        <x:f>F360*SUMIFS(Settings!$C$14:$C$17,Settings!$A$14:$A$17,D360)</x:f>
        <x:v>2</x:v>
      </x:c>
      <x:c r="H360" s="2" t="str">
        <x:v>No</x:v>
      </x:c>
      <x:c r="I360" s="2" t="str">
        <x:v>Completed the fictional selection.</x:v>
      </x:c>
      <x:c r="J360" s="2" t="str">
        <x:v>Day 24!A16:H16</x:v>
      </x:c>
    </x:row>
    <x:row r="361" ht="23" customHeight="1">
      <x:c r="A361" s="7" t="n">
        <x:v>46227.5</x:v>
      </x:c>
      <x:c r="B361" s="2" t="str">
        <x:v>12:35 PM</x:v>
      </x:c>
      <x:c r="C361" s="2" t="str">
        <x:v>FAKE-24-008</x:v>
      </x:c>
      <x:c r="D361" s="2" t="str">
        <x:f>Settings!$A$15</x:f>
        <x:v>Plus Package</x:v>
      </x:c>
      <x:c r="E361" s="2" t="str">
        <x:v>Follow-up</x:v>
      </x:c>
      <x:c r="F361" s="11" t="n">
        <x:v>0</x:v>
      </x:c>
      <x:c r="G361" s="12" t="n">
        <x:f>F361*SUMIFS(Settings!$C$14:$C$17,Settings!$A$14:$A$17,D361)</x:f>
        <x:v>0</x:v>
      </x:c>
      <x:c r="H361" s="2" t="str">
        <x:v>Yes</x:v>
      </x:c>
      <x:c r="I361" s="2" t="str">
        <x:v>Follow-up requested for a later date.</x:v>
      </x:c>
      <x:c r="J361" s="2" t="str">
        <x:v>Day 24!A17:H17</x:v>
      </x:c>
    </x:row>
    <x:row r="362" ht="23" customHeight="1">
      <x:c r="A362" s="7" t="n">
        <x:v>46227.5</x:v>
      </x:c>
      <x:c r="B362" s="2" t="str">
        <x:v>1:05 PM</x:v>
      </x:c>
      <x:c r="C362" s="2" t="str">
        <x:v>FAKE-24-009</x:v>
      </x:c>
      <x:c r="D362" s="2" t="str">
        <x:f>Settings!$A$14</x:f>
        <x:v>Core Package</x:v>
      </x:c>
      <x:c r="E362" s="2" t="str">
        <x:v>No sale</x:v>
      </x:c>
      <x:c r="F362" s="11" t="n">
        <x:v>0</x:v>
      </x:c>
      <x:c r="G362" s="12" t="n">
        <x:f>F362*SUMIFS(Settings!$C$14:$C$17,Settings!$A$14:$A$17,D362)</x:f>
        <x:v>0</x:v>
      </x:c>
      <x:c r="H362" s="2" t="str">
        <x:v>No</x:v>
      </x:c>
      <x:c r="I362" s="2" t="str">
        <x:v>No selection made; no follow-up needed.</x:v>
      </x:c>
      <x:c r="J362" s="2" t="str">
        <x:v>Day 24!A18:H18</x:v>
      </x:c>
    </x:row>
    <x:row r="363" ht="23" customHeight="1">
      <x:c r="A363" s="7" t="n">
        <x:v>46227.5</x:v>
      </x:c>
      <x:c r="B363" s="2" t="str">
        <x:v>1:35 PM</x:v>
      </x:c>
      <x:c r="C363" s="2" t="str">
        <x:v>FAKE-24-010</x:v>
      </x:c>
      <x:c r="D363" s="2" t="str">
        <x:f>Settings!$A$17</x:f>
        <x:v>Optional Add-on</x:v>
      </x:c>
      <x:c r="E363" s="2" t="str">
        <x:v>Completed</x:v>
      </x:c>
      <x:c r="F363" s="11" t="n">
        <x:v>2</x:v>
      </x:c>
      <x:c r="G363" s="12" t="n">
        <x:f>F363*SUMIFS(Settings!$C$14:$C$17,Settings!$A$14:$A$17,D363)</x:f>
        <x:v>1</x:v>
      </x:c>
      <x:c r="H363" s="2" t="str">
        <x:v>No</x:v>
      </x:c>
      <x:c r="I363" s="2" t="str">
        <x:v>Completed the fictional selection.</x:v>
      </x:c>
      <x:c r="J363" s="2" t="str">
        <x:v>Day 24!A19:H19</x:v>
      </x:c>
    </x:row>
    <x:row r="364" ht="23" customHeight="1">
      <x:c r="A364" s="7" t="n">
        <x:v>46227.5</x:v>
      </x:c>
      <x:c r="B364" s="2" t="str">
        <x:v>2:05 PM</x:v>
      </x:c>
      <x:c r="C364" s="2" t="str">
        <x:v>FAKE-24-011</x:v>
      </x:c>
      <x:c r="D364" s="2" t="str">
        <x:f>Settings!$A$16</x:f>
        <x:v>Premium Package</x:v>
      </x:c>
      <x:c r="E364" s="2" t="str">
        <x:v>Completed</x:v>
      </x:c>
      <x:c r="F364" s="11" t="n">
        <x:v>1</x:v>
      </x:c>
      <x:c r="G364" s="12" t="n">
        <x:f>F364*SUMIFS(Settings!$C$14:$C$17,Settings!$A$14:$A$17,D364)</x:f>
        <x:v>2</x:v>
      </x:c>
      <x:c r="H364" s="2" t="str">
        <x:v>No</x:v>
      </x:c>
      <x:c r="I364" s="2" t="str">
        <x:v>Completed the fictional selection.</x:v>
      </x:c>
      <x:c r="J364" s="2" t="str">
        <x:v>Day 24!A20:H20</x:v>
      </x:c>
    </x:row>
    <x:row r="365" ht="23" customHeight="1">
      <x:c r="A365" s="7" t="n">
        <x:v>46227.5</x:v>
      </x:c>
      <x:c r="B365" s="2" t="str">
        <x:v>2:35 PM</x:v>
      </x:c>
      <x:c r="C365" s="2" t="str">
        <x:v>FAKE-24-012</x:v>
      </x:c>
      <x:c r="D365" s="2" t="str">
        <x:f>Settings!$A$15</x:f>
        <x:v>Plus Package</x:v>
      </x:c>
      <x:c r="E365" s="2" t="str">
        <x:v>Completed</x:v>
      </x:c>
      <x:c r="F365" s="11" t="n">
        <x:v>1</x:v>
      </x:c>
      <x:c r="G365" s="12" t="n">
        <x:f>F365*SUMIFS(Settings!$C$14:$C$17,Settings!$A$14:$A$17,D365)</x:f>
        <x:v>1.5</x:v>
      </x:c>
      <x:c r="H365" s="2" t="str">
        <x:v>No</x:v>
      </x:c>
      <x:c r="I365" s="2" t="str">
        <x:v>Completed the fictional selection.</x:v>
      </x:c>
      <x:c r="J365" s="2" t="str">
        <x:v>Day 24!A21:H21</x:v>
      </x:c>
    </x:row>
    <x:row r="366" ht="23" customHeight="1">
      <x:c r="A366" s="7" t="n">
        <x:v>46227.5</x:v>
      </x:c>
      <x:c r="B366" s="2" t="str">
        <x:v>3:05 PM</x:v>
      </x:c>
      <x:c r="C366" s="2" t="str">
        <x:v>FAKE-24-013</x:v>
      </x:c>
      <x:c r="D366" s="2" t="str">
        <x:f>Settings!$A$14</x:f>
        <x:v>Core Package</x:v>
      </x:c>
      <x:c r="E366" s="2" t="str">
        <x:v>Follow-up</x:v>
      </x:c>
      <x:c r="F366" s="11" t="n">
        <x:v>0</x:v>
      </x:c>
      <x:c r="G366" s="12" t="n">
        <x:f>F366*SUMIFS(Settings!$C$14:$C$17,Settings!$A$14:$A$17,D366)</x:f>
        <x:v>0</x:v>
      </x:c>
      <x:c r="H366" s="2" t="str">
        <x:v>Yes</x:v>
      </x:c>
      <x:c r="I366" s="2" t="str">
        <x:v>Follow-up requested for a later date.</x:v>
      </x:c>
      <x:c r="J366" s="2" t="str">
        <x:v>Day 24!A22:H22</x:v>
      </x:c>
    </x:row>
    <x:row r="367" ht="23" customHeight="1">
      <x:c r="A367" s="7" t="n">
        <x:v>46228.5</x:v>
      </x:c>
      <x:c r="B367" s="2" t="str">
        <x:v>9:05 AM</x:v>
      </x:c>
      <x:c r="C367" s="2" t="str">
        <x:v>FAKE-25-001</x:v>
      </x:c>
      <x:c r="D367" s="2" t="str">
        <x:f>Settings!$A$15</x:f>
        <x:v>Plus Package</x:v>
      </x:c>
      <x:c r="E367" s="2" t="str">
        <x:v>Completed</x:v>
      </x:c>
      <x:c r="F367" s="11" t="n">
        <x:v>1</x:v>
      </x:c>
      <x:c r="G367" s="12" t="n">
        <x:f>F367*SUMIFS(Settings!$C$14:$C$17,Settings!$A$14:$A$17,D367)</x:f>
        <x:v>1.5</x:v>
      </x:c>
      <x:c r="H367" s="2" t="str">
        <x:v>No</x:v>
      </x:c>
      <x:c r="I367" s="2" t="str">
        <x:v>Completed the fictional selection.</x:v>
      </x:c>
      <x:c r="J367" s="2" t="str">
        <x:v>Day 25!A10:H10</x:v>
      </x:c>
    </x:row>
    <x:row r="368" ht="23" customHeight="1">
      <x:c r="A368" s="7" t="n">
        <x:v>46228.5</x:v>
      </x:c>
      <x:c r="B368" s="2" t="str">
        <x:v>9:35 AM</x:v>
      </x:c>
      <x:c r="C368" s="2" t="str">
        <x:v>FAKE-25-002</x:v>
      </x:c>
      <x:c r="D368" s="2" t="str">
        <x:f>Settings!$A$14</x:f>
        <x:v>Core Package</x:v>
      </x:c>
      <x:c r="E368" s="2" t="str">
        <x:v>Follow-up</x:v>
      </x:c>
      <x:c r="F368" s="11" t="n">
        <x:v>0</x:v>
      </x:c>
      <x:c r="G368" s="12" t="n">
        <x:f>F368*SUMIFS(Settings!$C$14:$C$17,Settings!$A$14:$A$17,D368)</x:f>
        <x:v>0</x:v>
      </x:c>
      <x:c r="H368" s="2" t="str">
        <x:v>Yes</x:v>
      </x:c>
      <x:c r="I368" s="2" t="str">
        <x:v>Follow-up requested for a later date.</x:v>
      </x:c>
      <x:c r="J368" s="2" t="str">
        <x:v>Day 25!A11:H11</x:v>
      </x:c>
    </x:row>
    <x:row r="369" ht="23" customHeight="1">
      <x:c r="A369" s="7" t="n">
        <x:v>46228.5</x:v>
      </x:c>
      <x:c r="B369" s="2" t="str">
        <x:v>10:05 AM</x:v>
      </x:c>
      <x:c r="C369" s="2" t="str">
        <x:v>FAKE-25-003</x:v>
      </x:c>
      <x:c r="D369" s="2" t="str">
        <x:f>Settings!$A$17</x:f>
        <x:v>Optional Add-on</x:v>
      </x:c>
      <x:c r="E369" s="2" t="str">
        <x:v>No sale</x:v>
      </x:c>
      <x:c r="F369" s="11" t="n">
        <x:v>0</x:v>
      </x:c>
      <x:c r="G369" s="12" t="n">
        <x:f>F369*SUMIFS(Settings!$C$14:$C$17,Settings!$A$14:$A$17,D369)</x:f>
        <x:v>0</x:v>
      </x:c>
      <x:c r="H369" s="2" t="str">
        <x:v>No</x:v>
      </x:c>
      <x:c r="I369" s="2" t="str">
        <x:v>No selection made; no follow-up needed.</x:v>
      </x:c>
      <x:c r="J369" s="2" t="str">
        <x:v>Day 25!A12:H12</x:v>
      </x:c>
    </x:row>
    <x:row r="370" ht="23" customHeight="1">
      <x:c r="A370" s="7" t="n">
        <x:v>46228.5</x:v>
      </x:c>
      <x:c r="B370" s="2" t="str">
        <x:v>10:35 AM</x:v>
      </x:c>
      <x:c r="C370" s="2" t="str">
        <x:v>FAKE-25-004</x:v>
      </x:c>
      <x:c r="D370" s="2" t="str">
        <x:f>Settings!$A$16</x:f>
        <x:v>Premium Package</x:v>
      </x:c>
      <x:c r="E370" s="2" t="str">
        <x:v>Completed</x:v>
      </x:c>
      <x:c r="F370" s="11" t="n">
        <x:v>1</x:v>
      </x:c>
      <x:c r="G370" s="12" t="n">
        <x:f>F370*SUMIFS(Settings!$C$14:$C$17,Settings!$A$14:$A$17,D370)</x:f>
        <x:v>2</x:v>
      </x:c>
      <x:c r="H370" s="2" t="str">
        <x:v>No</x:v>
      </x:c>
      <x:c r="I370" s="2" t="str">
        <x:v>Completed the fictional selection.</x:v>
      </x:c>
      <x:c r="J370" s="2" t="str">
        <x:v>Day 25!A13:H13</x:v>
      </x:c>
    </x:row>
    <x:row r="371" ht="23" customHeight="1">
      <x:c r="A371" s="7" t="n">
        <x:v>46228.5</x:v>
      </x:c>
      <x:c r="B371" s="2" t="str">
        <x:v>11:05 AM</x:v>
      </x:c>
      <x:c r="C371" s="2" t="str">
        <x:v>FAKE-25-005</x:v>
      </x:c>
      <x:c r="D371" s="2" t="str">
        <x:f>Settings!$A$15</x:f>
        <x:v>Plus Package</x:v>
      </x:c>
      <x:c r="E371" s="2" t="str">
        <x:v>Completed</x:v>
      </x:c>
      <x:c r="F371" s="11" t="n">
        <x:v>1</x:v>
      </x:c>
      <x:c r="G371" s="12" t="n">
        <x:f>F371*SUMIFS(Settings!$C$14:$C$17,Settings!$A$14:$A$17,D371)</x:f>
        <x:v>1.5</x:v>
      </x:c>
      <x:c r="H371" s="2" t="str">
        <x:v>No</x:v>
      </x:c>
      <x:c r="I371" s="2" t="str">
        <x:v>Completed the fictional selection.</x:v>
      </x:c>
      <x:c r="J371" s="2" t="str">
        <x:v>Day 25!A14:H14</x:v>
      </x:c>
    </x:row>
    <x:row r="372" ht="23" customHeight="1">
      <x:c r="A372" s="7" t="n">
        <x:v>46228.5</x:v>
      </x:c>
      <x:c r="B372" s="2" t="str">
        <x:v>11:35 AM</x:v>
      </x:c>
      <x:c r="C372" s="2" t="str">
        <x:v>FAKE-25-006</x:v>
      </x:c>
      <x:c r="D372" s="2" t="str">
        <x:f>Settings!$A$14</x:f>
        <x:v>Core Package</x:v>
      </x:c>
      <x:c r="E372" s="2" t="str">
        <x:v>Completed</x:v>
      </x:c>
      <x:c r="F372" s="11" t="n">
        <x:v>1</x:v>
      </x:c>
      <x:c r="G372" s="12" t="n">
        <x:f>F372*SUMIFS(Settings!$C$14:$C$17,Settings!$A$14:$A$17,D372)</x:f>
        <x:v>1</x:v>
      </x:c>
      <x:c r="H372" s="2" t="str">
        <x:v>No</x:v>
      </x:c>
      <x:c r="I372" s="2" t="str">
        <x:v>Completed the fictional selection.</x:v>
      </x:c>
      <x:c r="J372" s="2" t="str">
        <x:v>Day 25!A15:H15</x:v>
      </x:c>
    </x:row>
    <x:row r="373" ht="23" customHeight="1">
      <x:c r="A373" s="7" t="n">
        <x:v>46228.5</x:v>
      </x:c>
      <x:c r="B373" s="2" t="str">
        <x:v>12:05 PM</x:v>
      </x:c>
      <x:c r="C373" s="2" t="str">
        <x:v>FAKE-25-007</x:v>
      </x:c>
      <x:c r="D373" s="2" t="str">
        <x:f>Settings!$A$17</x:f>
        <x:v>Optional Add-on</x:v>
      </x:c>
      <x:c r="E373" s="2" t="str">
        <x:v>Follow-up</x:v>
      </x:c>
      <x:c r="F373" s="11" t="n">
        <x:v>0</x:v>
      </x:c>
      <x:c r="G373" s="12" t="n">
        <x:f>F373*SUMIFS(Settings!$C$14:$C$17,Settings!$A$14:$A$17,D373)</x:f>
        <x:v>0</x:v>
      </x:c>
      <x:c r="H373" s="2" t="str">
        <x:v>Yes</x:v>
      </x:c>
      <x:c r="I373" s="2" t="str">
        <x:v>Follow-up requested for a later date.</x:v>
      </x:c>
      <x:c r="J373" s="2" t="str">
        <x:v>Day 25!A16:H16</x:v>
      </x:c>
    </x:row>
    <x:row r="374" ht="23" customHeight="1">
      <x:c r="A374" s="7" t="n">
        <x:v>46228.5</x:v>
      </x:c>
      <x:c r="B374" s="2" t="str">
        <x:v>12:35 PM</x:v>
      </x:c>
      <x:c r="C374" s="2" t="str">
        <x:v>FAKE-25-008</x:v>
      </x:c>
      <x:c r="D374" s="2" t="str">
        <x:f>Settings!$A$16</x:f>
        <x:v>Premium Package</x:v>
      </x:c>
      <x:c r="E374" s="2" t="str">
        <x:v>No sale</x:v>
      </x:c>
      <x:c r="F374" s="11" t="n">
        <x:v>0</x:v>
      </x:c>
      <x:c r="G374" s="12" t="n">
        <x:f>F374*SUMIFS(Settings!$C$14:$C$17,Settings!$A$14:$A$17,D374)</x:f>
        <x:v>0</x:v>
      </x:c>
      <x:c r="H374" s="2" t="str">
        <x:v>No</x:v>
      </x:c>
      <x:c r="I374" s="2" t="str">
        <x:v>No selection made; no follow-up needed.</x:v>
      </x:c>
      <x:c r="J374" s="2" t="str">
        <x:v>Day 25!A17:H17</x:v>
      </x:c>
    </x:row>
    <x:row r="375" ht="23" customHeight="1">
      <x:c r="A375" s="7" t="n">
        <x:v>46228.5</x:v>
      </x:c>
      <x:c r="B375" s="2" t="str">
        <x:v>1:05 PM</x:v>
      </x:c>
      <x:c r="C375" s="2" t="str">
        <x:v>FAKE-25-009</x:v>
      </x:c>
      <x:c r="D375" s="2" t="str">
        <x:f>Settings!$A$15</x:f>
        <x:v>Plus Package</x:v>
      </x:c>
      <x:c r="E375" s="2" t="str">
        <x:v>Completed</x:v>
      </x:c>
      <x:c r="F375" s="11" t="n">
        <x:v>1</x:v>
      </x:c>
      <x:c r="G375" s="12" t="n">
        <x:f>F375*SUMIFS(Settings!$C$14:$C$17,Settings!$A$14:$A$17,D375)</x:f>
        <x:v>1.5</x:v>
      </x:c>
      <x:c r="H375" s="2" t="str">
        <x:v>No</x:v>
      </x:c>
      <x:c r="I375" s="2" t="str">
        <x:v>Completed the fictional selection.</x:v>
      </x:c>
      <x:c r="J375" s="2" t="str">
        <x:v>Day 25!A18:H18</x:v>
      </x:c>
    </x:row>
    <x:row r="376" ht="23" customHeight="1">
      <x:c r="A376" s="7" t="n">
        <x:v>46228.5</x:v>
      </x:c>
      <x:c r="B376" s="2" t="str">
        <x:v>1:35 PM</x:v>
      </x:c>
      <x:c r="C376" s="2" t="str">
        <x:v>FAKE-25-010</x:v>
      </x:c>
      <x:c r="D376" s="2" t="str">
        <x:f>Settings!$A$14</x:f>
        <x:v>Core Package</x:v>
      </x:c>
      <x:c r="E376" s="2" t="str">
        <x:v>Completed</x:v>
      </x:c>
      <x:c r="F376" s="11" t="n">
        <x:v>1</x:v>
      </x:c>
      <x:c r="G376" s="12" t="n">
        <x:f>F376*SUMIFS(Settings!$C$14:$C$17,Settings!$A$14:$A$17,D376)</x:f>
        <x:v>1</x:v>
      </x:c>
      <x:c r="H376" s="2" t="str">
        <x:v>No</x:v>
      </x:c>
      <x:c r="I376" s="2" t="str">
        <x:v>Completed the fictional selection.</x:v>
      </x:c>
      <x:c r="J376" s="2" t="str">
        <x:v>Day 25!A19:H19</x:v>
      </x:c>
    </x:row>
    <x:row r="377" ht="23" customHeight="1">
      <x:c r="A377" s="7" t="n">
        <x:v>46228.5</x:v>
      </x:c>
      <x:c r="B377" s="2" t="str">
        <x:v>2:05 PM</x:v>
      </x:c>
      <x:c r="C377" s="2" t="str">
        <x:v>FAKE-25-011</x:v>
      </x:c>
      <x:c r="D377" s="2" t="str">
        <x:f>Settings!$A$17</x:f>
        <x:v>Optional Add-on</x:v>
      </x:c>
      <x:c r="E377" s="2" t="str">
        <x:v>Completed</x:v>
      </x:c>
      <x:c r="F377" s="11" t="n">
        <x:v>1</x:v>
      </x:c>
      <x:c r="G377" s="12" t="n">
        <x:f>F377*SUMIFS(Settings!$C$14:$C$17,Settings!$A$14:$A$17,D377)</x:f>
        <x:v>0.5</x:v>
      </x:c>
      <x:c r="H377" s="2" t="str">
        <x:v>No</x:v>
      </x:c>
      <x:c r="I377" s="2" t="str">
        <x:v>Completed the fictional selection.</x:v>
      </x:c>
      <x:c r="J377" s="2" t="str">
        <x:v>Day 25!A20:H20</x:v>
      </x:c>
    </x:row>
    <x:row r="378" ht="23" customHeight="1">
      <x:c r="A378" s="7" t="n">
        <x:v>46228.5</x:v>
      </x:c>
      <x:c r="B378" s="2" t="str">
        <x:v>2:35 PM</x:v>
      </x:c>
      <x:c r="C378" s="2" t="str">
        <x:v>FAKE-25-012</x:v>
      </x:c>
      <x:c r="D378" s="2" t="str">
        <x:f>Settings!$A$16</x:f>
        <x:v>Premium Package</x:v>
      </x:c>
      <x:c r="E378" s="2" t="str">
        <x:v>Follow-up</x:v>
      </x:c>
      <x:c r="F378" s="11" t="n">
        <x:v>0</x:v>
      </x:c>
      <x:c r="G378" s="12" t="n">
        <x:f>F378*SUMIFS(Settings!$C$14:$C$17,Settings!$A$14:$A$17,D378)</x:f>
        <x:v>0</x:v>
      </x:c>
      <x:c r="H378" s="2" t="str">
        <x:v>Yes</x:v>
      </x:c>
      <x:c r="I378" s="2" t="str">
        <x:v>Follow-up requested for a later date.</x:v>
      </x:c>
      <x:c r="J378" s="2" t="str">
        <x:v>Day 25!A21:H21</x:v>
      </x:c>
    </x:row>
    <x:row r="379" ht="23" customHeight="1">
      <x:c r="A379" s="7" t="n">
        <x:v>46228.5</x:v>
      </x:c>
      <x:c r="B379" s="2" t="str">
        <x:v>3:05 PM</x:v>
      </x:c>
      <x:c r="C379" s="2" t="str">
        <x:v>FAKE-25-013</x:v>
      </x:c>
      <x:c r="D379" s="2" t="str">
        <x:f>Settings!$A$15</x:f>
        <x:v>Plus Package</x:v>
      </x:c>
      <x:c r="E379" s="2" t="str">
        <x:v>No sale</x:v>
      </x:c>
      <x:c r="F379" s="11" t="n">
        <x:v>0</x:v>
      </x:c>
      <x:c r="G379" s="12" t="n">
        <x:f>F379*SUMIFS(Settings!$C$14:$C$17,Settings!$A$14:$A$17,D379)</x:f>
        <x:v>0</x:v>
      </x:c>
      <x:c r="H379" s="2" t="str">
        <x:v>No</x:v>
      </x:c>
      <x:c r="I379" s="2" t="str">
        <x:v>No selection made; no follow-up needed.</x:v>
      </x:c>
      <x:c r="J379" s="2" t="str">
        <x:v>Day 25!A22:H22</x:v>
      </x:c>
    </x:row>
    <x:row r="380" ht="23" customHeight="1">
      <x:c r="A380" s="7" t="n">
        <x:v>46228.5</x:v>
      </x:c>
      <x:c r="B380" s="2" t="str">
        <x:v>3:35 PM</x:v>
      </x:c>
      <x:c r="C380" s="2" t="str">
        <x:v>FAKE-25-014</x:v>
      </x:c>
      <x:c r="D380" s="2" t="str">
        <x:f>Settings!$A$14</x:f>
        <x:v>Core Package</x:v>
      </x:c>
      <x:c r="E380" s="2" t="str">
        <x:v>Completed</x:v>
      </x:c>
      <x:c r="F380" s="11" t="n">
        <x:v>1</x:v>
      </x:c>
      <x:c r="G380" s="12" t="n">
        <x:f>F380*SUMIFS(Settings!$C$14:$C$17,Settings!$A$14:$A$17,D380)</x:f>
        <x:v>1</x:v>
      </x:c>
      <x:c r="H380" s="2" t="str">
        <x:v>No</x:v>
      </x:c>
      <x:c r="I380" s="2" t="str">
        <x:v>Completed the fictional selection.</x:v>
      </x:c>
      <x:c r="J380" s="2" t="str">
        <x:v>Day 25!A23:H23</x:v>
      </x:c>
    </x:row>
    <x:row r="381" ht="23" customHeight="1">
      <x:c r="A381" s="7" t="n">
        <x:v>46228.5</x:v>
      </x:c>
      <x:c r="B381" s="2" t="str">
        <x:v>4:05 PM</x:v>
      </x:c>
      <x:c r="C381" s="2" t="str">
        <x:v>FAKE-25-015</x:v>
      </x:c>
      <x:c r="D381" s="2" t="str">
        <x:f>Settings!$A$17</x:f>
        <x:v>Optional Add-on</x:v>
      </x:c>
      <x:c r="E381" s="2" t="str">
        <x:v>Completed</x:v>
      </x:c>
      <x:c r="F381" s="11" t="n">
        <x:v>1</x:v>
      </x:c>
      <x:c r="G381" s="12" t="n">
        <x:f>F381*SUMIFS(Settings!$C$14:$C$17,Settings!$A$14:$A$17,D381)</x:f>
        <x:v>0.5</x:v>
      </x:c>
      <x:c r="H381" s="2" t="str">
        <x:v>No</x:v>
      </x:c>
      <x:c r="I381" s="2" t="str">
        <x:v>Completed the fictional selection.</x:v>
      </x:c>
      <x:c r="J381" s="2" t="str">
        <x:v>Day 25!A24:H24</x:v>
      </x:c>
    </x:row>
    <x:row r="382" ht="23" customHeight="1">
      <x:c r="A382" s="7" t="n">
        <x:v>46228.5</x:v>
      </x:c>
      <x:c r="B382" s="2" t="str">
        <x:v>4:35 PM</x:v>
      </x:c>
      <x:c r="C382" s="2" t="str">
        <x:v>FAKE-25-016</x:v>
      </x:c>
      <x:c r="D382" s="2" t="str">
        <x:f>Settings!$A$16</x:f>
        <x:v>Premium Package</x:v>
      </x:c>
      <x:c r="E382" s="2" t="str">
        <x:v>Completed</x:v>
      </x:c>
      <x:c r="F382" s="11" t="n">
        <x:v>1</x:v>
      </x:c>
      <x:c r="G382" s="12" t="n">
        <x:f>F382*SUMIFS(Settings!$C$14:$C$17,Settings!$A$14:$A$17,D382)</x:f>
        <x:v>2</x:v>
      </x:c>
      <x:c r="H382" s="2" t="str">
        <x:v>No</x:v>
      </x:c>
      <x:c r="I382" s="2" t="str">
        <x:v>Completed the fictional selection.</x:v>
      </x:c>
      <x:c r="J382" s="2" t="str">
        <x:v>Day 25!A25:H25</x:v>
      </x:c>
    </x:row>
    <x:row r="383" ht="23" customHeight="1">
      <x:c r="A383" s="7" t="n">
        <x:v>46228.5</x:v>
      </x:c>
      <x:c r="B383" s="2" t="str">
        <x:v>5:05 PM</x:v>
      </x:c>
      <x:c r="C383" s="2" t="str">
        <x:v>FAKE-25-017</x:v>
      </x:c>
      <x:c r="D383" s="2" t="str">
        <x:f>Settings!$A$15</x:f>
        <x:v>Plus Package</x:v>
      </x:c>
      <x:c r="E383" s="2" t="str">
        <x:v>Follow-up</x:v>
      </x:c>
      <x:c r="F383" s="11" t="n">
        <x:v>0</x:v>
      </x:c>
      <x:c r="G383" s="12" t="n">
        <x:f>F383*SUMIFS(Settings!$C$14:$C$17,Settings!$A$14:$A$17,D383)</x:f>
        <x:v>0</x:v>
      </x:c>
      <x:c r="H383" s="2" t="str">
        <x:v>Yes</x:v>
      </x:c>
      <x:c r="I383" s="2" t="str">
        <x:v>Follow-up requested for a later date.</x:v>
      </x:c>
      <x:c r="J383" s="2" t="str">
        <x:v>Day 25!A26:H26</x:v>
      </x:c>
    </x:row>
    <x:row r="384" ht="23" customHeight="1">
      <x:c r="A384" s="7" t="n">
        <x:v>46228.5</x:v>
      </x:c>
      <x:c r="B384" s="2" t="str">
        <x:v>5:35 PM</x:v>
      </x:c>
      <x:c r="C384" s="2" t="str">
        <x:v>FAKE-25-018</x:v>
      </x:c>
      <x:c r="D384" s="2" t="str">
        <x:f>Settings!$A$14</x:f>
        <x:v>Core Package</x:v>
      </x:c>
      <x:c r="E384" s="2" t="str">
        <x:v>No sale</x:v>
      </x:c>
      <x:c r="F384" s="11" t="n">
        <x:v>0</x:v>
      </x:c>
      <x:c r="G384" s="12" t="n">
        <x:f>F384*SUMIFS(Settings!$C$14:$C$17,Settings!$A$14:$A$17,D384)</x:f>
        <x:v>0</x:v>
      </x:c>
      <x:c r="H384" s="2" t="str">
        <x:v>No</x:v>
      </x:c>
      <x:c r="I384" s="2" t="str">
        <x:v>No selection made; no follow-up needed.</x:v>
      </x:c>
      <x:c r="J384" s="2" t="str">
        <x:v>Day 25!A27:H27</x:v>
      </x:c>
    </x:row>
    <x:row r="385" ht="23" customHeight="1">
      <x:c r="A385" s="7" t="n">
        <x:v>46229.5</x:v>
      </x:c>
      <x:c r="B385" s="2" t="str">
        <x:v>9:05 AM</x:v>
      </x:c>
      <x:c r="C385" s="2" t="str">
        <x:v>FAKE-26-001</x:v>
      </x:c>
      <x:c r="D385" s="2" t="str">
        <x:f>Settings!$A$16</x:f>
        <x:v>Premium Package</x:v>
      </x:c>
      <x:c r="E385" s="2" t="str">
        <x:v>No sale</x:v>
      </x:c>
      <x:c r="F385" s="11" t="n">
        <x:v>0</x:v>
      </x:c>
      <x:c r="G385" s="12" t="n">
        <x:f>F385*SUMIFS(Settings!$C$14:$C$17,Settings!$A$14:$A$17,D385)</x:f>
        <x:v>0</x:v>
      </x:c>
      <x:c r="H385" s="2" t="str">
        <x:v>No</x:v>
      </x:c>
      <x:c r="I385" s="2" t="str">
        <x:v>No selection made; no follow-up needed.</x:v>
      </x:c>
      <x:c r="J385" s="2" t="str">
        <x:v>Day 26!A10:H10</x:v>
      </x:c>
    </x:row>
    <x:row r="386" ht="23" customHeight="1">
      <x:c r="A386" s="7" t="n">
        <x:v>46229.5</x:v>
      </x:c>
      <x:c r="B386" s="2" t="str">
        <x:v>9:35 AM</x:v>
      </x:c>
      <x:c r="C386" s="2" t="str">
        <x:v>FAKE-26-002</x:v>
      </x:c>
      <x:c r="D386" s="2" t="str">
        <x:f>Settings!$A$15</x:f>
        <x:v>Plus Package</x:v>
      </x:c>
      <x:c r="E386" s="2" t="str">
        <x:v>Completed</x:v>
      </x:c>
      <x:c r="F386" s="11" t="n">
        <x:v>2</x:v>
      </x:c>
      <x:c r="G386" s="12" t="n">
        <x:f>F386*SUMIFS(Settings!$C$14:$C$17,Settings!$A$14:$A$17,D386)</x:f>
        <x:v>3</x:v>
      </x:c>
      <x:c r="H386" s="2" t="str">
        <x:v>No</x:v>
      </x:c>
      <x:c r="I386" s="2" t="str">
        <x:v>Completed the fictional selection.</x:v>
      </x:c>
      <x:c r="J386" s="2" t="str">
        <x:v>Day 26!A11:H11</x:v>
      </x:c>
    </x:row>
    <x:row r="387" ht="23" customHeight="1">
      <x:c r="A387" s="7" t="n">
        <x:v>46229.5</x:v>
      </x:c>
      <x:c r="B387" s="2" t="str">
        <x:v>10:05 AM</x:v>
      </x:c>
      <x:c r="C387" s="2" t="str">
        <x:v>FAKE-26-003</x:v>
      </x:c>
      <x:c r="D387" s="2" t="str">
        <x:f>Settings!$A$14</x:f>
        <x:v>Core Package</x:v>
      </x:c>
      <x:c r="E387" s="2" t="str">
        <x:v>Completed</x:v>
      </x:c>
      <x:c r="F387" s="11" t="n">
        <x:v>1</x:v>
      </x:c>
      <x:c r="G387" s="12" t="n">
        <x:f>F387*SUMIFS(Settings!$C$14:$C$17,Settings!$A$14:$A$17,D387)</x:f>
        <x:v>1</x:v>
      </x:c>
      <x:c r="H387" s="2" t="str">
        <x:v>No</x:v>
      </x:c>
      <x:c r="I387" s="2" t="str">
        <x:v>Completed the fictional selection.</x:v>
      </x:c>
      <x:c r="J387" s="2" t="str">
        <x:v>Day 26!A12:H12</x:v>
      </x:c>
    </x:row>
    <x:row r="388" ht="23" customHeight="1">
      <x:c r="A388" s="7" t="n">
        <x:v>46229.5</x:v>
      </x:c>
      <x:c r="B388" s="2" t="str">
        <x:v>10:35 AM</x:v>
      </x:c>
      <x:c r="C388" s="2" t="str">
        <x:v>FAKE-26-004</x:v>
      </x:c>
      <x:c r="D388" s="2" t="str">
        <x:f>Settings!$A$17</x:f>
        <x:v>Optional Add-on</x:v>
      </x:c>
      <x:c r="E388" s="2" t="str">
        <x:v>Completed</x:v>
      </x:c>
      <x:c r="F388" s="11" t="n">
        <x:v>1</x:v>
      </x:c>
      <x:c r="G388" s="12" t="n">
        <x:f>F388*SUMIFS(Settings!$C$14:$C$17,Settings!$A$14:$A$17,D388)</x:f>
        <x:v>0.5</x:v>
      </x:c>
      <x:c r="H388" s="2" t="str">
        <x:v>No</x:v>
      </x:c>
      <x:c r="I388" s="2" t="str">
        <x:v>Completed the fictional selection.</x:v>
      </x:c>
      <x:c r="J388" s="2" t="str">
        <x:v>Day 26!A13:H13</x:v>
      </x:c>
    </x:row>
    <x:row r="389" ht="23" customHeight="1">
      <x:c r="A389" s="7" t="n">
        <x:v>46229.5</x:v>
      </x:c>
      <x:c r="B389" s="2" t="str">
        <x:v>11:05 AM</x:v>
      </x:c>
      <x:c r="C389" s="2" t="str">
        <x:v>FAKE-26-005</x:v>
      </x:c>
      <x:c r="D389" s="2" t="str">
        <x:f>Settings!$A$16</x:f>
        <x:v>Premium Package</x:v>
      </x:c>
      <x:c r="E389" s="2" t="str">
        <x:v>Follow-up</x:v>
      </x:c>
      <x:c r="F389" s="11" t="n">
        <x:v>0</x:v>
      </x:c>
      <x:c r="G389" s="12" t="n">
        <x:f>F389*SUMIFS(Settings!$C$14:$C$17,Settings!$A$14:$A$17,D389)</x:f>
        <x:v>0</x:v>
      </x:c>
      <x:c r="H389" s="2" t="str">
        <x:v>Yes</x:v>
      </x:c>
      <x:c r="I389" s="2" t="str">
        <x:v>Follow-up requested for a later date.</x:v>
      </x:c>
      <x:c r="J389" s="2" t="str">
        <x:v>Day 26!A14:H14</x:v>
      </x:c>
    </x:row>
    <x:row r="390" ht="23" customHeight="1">
      <x:c r="A390" s="7" t="n">
        <x:v>46229.5</x:v>
      </x:c>
      <x:c r="B390" s="2" t="str">
        <x:v>11:35 AM</x:v>
      </x:c>
      <x:c r="C390" s="2" t="str">
        <x:v>FAKE-26-006</x:v>
      </x:c>
      <x:c r="D390" s="2" t="str">
        <x:f>Settings!$A$15</x:f>
        <x:v>Plus Package</x:v>
      </x:c>
      <x:c r="E390" s="2" t="str">
        <x:v>No sale</x:v>
      </x:c>
      <x:c r="F390" s="11" t="n">
        <x:v>0</x:v>
      </x:c>
      <x:c r="G390" s="12" t="n">
        <x:f>F390*SUMIFS(Settings!$C$14:$C$17,Settings!$A$14:$A$17,D390)</x:f>
        <x:v>0</x:v>
      </x:c>
      <x:c r="H390" s="2" t="str">
        <x:v>No</x:v>
      </x:c>
      <x:c r="I390" s="2" t="str">
        <x:v>No selection made; no follow-up needed.</x:v>
      </x:c>
      <x:c r="J390" s="2" t="str">
        <x:v>Day 26!A15:H15</x:v>
      </x:c>
    </x:row>
    <x:row r="391" ht="23" customHeight="1">
      <x:c r="A391" s="7" t="n">
        <x:v>46229.5</x:v>
      </x:c>
      <x:c r="B391" s="2" t="str">
        <x:v>12:05 PM</x:v>
      </x:c>
      <x:c r="C391" s="2" t="str">
        <x:v>FAKE-26-007</x:v>
      </x:c>
      <x:c r="D391" s="2" t="str">
        <x:f>Settings!$A$14</x:f>
        <x:v>Core Package</x:v>
      </x:c>
      <x:c r="E391" s="2" t="str">
        <x:v>Completed</x:v>
      </x:c>
      <x:c r="F391" s="11" t="n">
        <x:v>2</x:v>
      </x:c>
      <x:c r="G391" s="12" t="n">
        <x:f>F391*SUMIFS(Settings!$C$14:$C$17,Settings!$A$14:$A$17,D391)</x:f>
        <x:v>2</x:v>
      </x:c>
      <x:c r="H391" s="2" t="str">
        <x:v>No</x:v>
      </x:c>
      <x:c r="I391" s="2" t="str">
        <x:v>Completed the fictional selection.</x:v>
      </x:c>
      <x:c r="J391" s="2" t="str">
        <x:v>Day 26!A16:H16</x:v>
      </x:c>
    </x:row>
    <x:row r="392" ht="23" customHeight="1">
      <x:c r="A392" s="7" t="n">
        <x:v>46229.5</x:v>
      </x:c>
      <x:c r="B392" s="2" t="str">
        <x:v>12:35 PM</x:v>
      </x:c>
      <x:c r="C392" s="2" t="str">
        <x:v>FAKE-26-008</x:v>
      </x:c>
      <x:c r="D392" s="2" t="str">
        <x:f>Settings!$A$17</x:f>
        <x:v>Optional Add-on</x:v>
      </x:c>
      <x:c r="E392" s="2" t="str">
        <x:v>Completed</x:v>
      </x:c>
      <x:c r="F392" s="11" t="n">
        <x:v>1</x:v>
      </x:c>
      <x:c r="G392" s="12" t="n">
        <x:f>F392*SUMIFS(Settings!$C$14:$C$17,Settings!$A$14:$A$17,D392)</x:f>
        <x:v>0.5</x:v>
      </x:c>
      <x:c r="H392" s="2" t="str">
        <x:v>No</x:v>
      </x:c>
      <x:c r="I392" s="2" t="str">
        <x:v>Completed the fictional selection.</x:v>
      </x:c>
      <x:c r="J392" s="2" t="str">
        <x:v>Day 26!A17:H17</x:v>
      </x:c>
    </x:row>
    <x:row r="393" ht="23" customHeight="1">
      <x:c r="A393" s="7" t="n">
        <x:v>46229.5</x:v>
      </x:c>
      <x:c r="B393" s="2" t="str">
        <x:v>1:05 PM</x:v>
      </x:c>
      <x:c r="C393" s="2" t="str">
        <x:v>FAKE-26-009</x:v>
      </x:c>
      <x:c r="D393" s="2" t="str">
        <x:f>Settings!$A$16</x:f>
        <x:v>Premium Package</x:v>
      </x:c>
      <x:c r="E393" s="2" t="str">
        <x:v>Completed</x:v>
      </x:c>
      <x:c r="F393" s="11" t="n">
        <x:v>1</x:v>
      </x:c>
      <x:c r="G393" s="12" t="n">
        <x:f>F393*SUMIFS(Settings!$C$14:$C$17,Settings!$A$14:$A$17,D393)</x:f>
        <x:v>2</x:v>
      </x:c>
      <x:c r="H393" s="2" t="str">
        <x:v>No</x:v>
      </x:c>
      <x:c r="I393" s="2" t="str">
        <x:v>Completed the fictional selection.</x:v>
      </x:c>
      <x:c r="J393" s="2" t="str">
        <x:v>Day 26!A18:H18</x:v>
      </x:c>
    </x:row>
    <x:row r="394" ht="23" customHeight="1">
      <x:c r="A394" s="7" t="n">
        <x:v>46229.5</x:v>
      </x:c>
      <x:c r="B394" s="2" t="str">
        <x:v>1:35 PM</x:v>
      </x:c>
      <x:c r="C394" s="2" t="str">
        <x:v>FAKE-26-010</x:v>
      </x:c>
      <x:c r="D394" s="2" t="str">
        <x:f>Settings!$A$15</x:f>
        <x:v>Plus Package</x:v>
      </x:c>
      <x:c r="E394" s="2" t="str">
        <x:v>Follow-up</x:v>
      </x:c>
      <x:c r="F394" s="11" t="n">
        <x:v>0</x:v>
      </x:c>
      <x:c r="G394" s="12" t="n">
        <x:f>F394*SUMIFS(Settings!$C$14:$C$17,Settings!$A$14:$A$17,D394)</x:f>
        <x:v>0</x:v>
      </x:c>
      <x:c r="H394" s="2" t="str">
        <x:v>Yes</x:v>
      </x:c>
      <x:c r="I394" s="2" t="str">
        <x:v>Follow-up requested for a later date.</x:v>
      </x:c>
      <x:c r="J394" s="2" t="str">
        <x:v>Day 26!A19:H19</x:v>
      </x:c>
    </x:row>
    <x:row r="395" ht="23" customHeight="1">
      <x:c r="A395" s="7" t="n">
        <x:v>46229.5</x:v>
      </x:c>
      <x:c r="B395" s="2" t="str">
        <x:v>2:05 PM</x:v>
      </x:c>
      <x:c r="C395" s="2" t="str">
        <x:v>FAKE-26-011</x:v>
      </x:c>
      <x:c r="D395" s="2" t="str">
        <x:f>Settings!$A$14</x:f>
        <x:v>Core Package</x:v>
      </x:c>
      <x:c r="E395" s="2" t="str">
        <x:v>No sale</x:v>
      </x:c>
      <x:c r="F395" s="11" t="n">
        <x:v>0</x:v>
      </x:c>
      <x:c r="G395" s="12" t="n">
        <x:f>F395*SUMIFS(Settings!$C$14:$C$17,Settings!$A$14:$A$17,D395)</x:f>
        <x:v>0</x:v>
      </x:c>
      <x:c r="H395" s="2" t="str">
        <x:v>No</x:v>
      </x:c>
      <x:c r="I395" s="2" t="str">
        <x:v>No selection made; no follow-up needed.</x:v>
      </x:c>
      <x:c r="J395" s="2" t="str">
        <x:v>Day 26!A20:H20</x:v>
      </x:c>
    </x:row>
    <x:row r="396" ht="23" customHeight="1">
      <x:c r="A396" s="7" t="n">
        <x:v>46229.5</x:v>
      </x:c>
      <x:c r="B396" s="2" t="str">
        <x:v>2:35 PM</x:v>
      </x:c>
      <x:c r="C396" s="2" t="str">
        <x:v>FAKE-26-012</x:v>
      </x:c>
      <x:c r="D396" s="2" t="str">
        <x:f>Settings!$A$17</x:f>
        <x:v>Optional Add-on</x:v>
      </x:c>
      <x:c r="E396" s="2" t="str">
        <x:v>Completed</x:v>
      </x:c>
      <x:c r="F396" s="11" t="n">
        <x:v>2</x:v>
      </x:c>
      <x:c r="G396" s="12" t="n">
        <x:f>F396*SUMIFS(Settings!$C$14:$C$17,Settings!$A$14:$A$17,D396)</x:f>
        <x:v>1</x:v>
      </x:c>
      <x:c r="H396" s="2" t="str">
        <x:v>No</x:v>
      </x:c>
      <x:c r="I396" s="2" t="str">
        <x:v>Completed the fictional selection.</x:v>
      </x:c>
      <x:c r="J396" s="2" t="str">
        <x:v>Day 26!A21:H21</x:v>
      </x:c>
    </x:row>
    <x:row r="397" ht="23" customHeight="1">
      <x:c r="A397" s="7" t="n">
        <x:v>46229.5</x:v>
      </x:c>
      <x:c r="B397" s="2" t="str">
        <x:v>3:05 PM</x:v>
      </x:c>
      <x:c r="C397" s="2" t="str">
        <x:v>FAKE-26-013</x:v>
      </x:c>
      <x:c r="D397" s="2" t="str">
        <x:f>Settings!$A$16</x:f>
        <x:v>Premium Package</x:v>
      </x:c>
      <x:c r="E397" s="2" t="str">
        <x:v>Completed</x:v>
      </x:c>
      <x:c r="F397" s="11" t="n">
        <x:v>1</x:v>
      </x:c>
      <x:c r="G397" s="12" t="n">
        <x:f>F397*SUMIFS(Settings!$C$14:$C$17,Settings!$A$14:$A$17,D397)</x:f>
        <x:v>2</x:v>
      </x:c>
      <x:c r="H397" s="2" t="str">
        <x:v>No</x:v>
      </x:c>
      <x:c r="I397" s="2" t="str">
        <x:v>Completed the fictional selection.</x:v>
      </x:c>
      <x:c r="J397" s="2" t="str">
        <x:v>Day 26!A22:H22</x:v>
      </x:c>
    </x:row>
    <x:row r="398" ht="23" customHeight="1">
      <x:c r="A398" s="7" t="n">
        <x:v>46229.5</x:v>
      </x:c>
      <x:c r="B398" s="2" t="str">
        <x:v>3:35 PM</x:v>
      </x:c>
      <x:c r="C398" s="2" t="str">
        <x:v>FAKE-26-014</x:v>
      </x:c>
      <x:c r="D398" s="2" t="str">
        <x:f>Settings!$A$15</x:f>
        <x:v>Plus Package</x:v>
      </x:c>
      <x:c r="E398" s="2" t="str">
        <x:v>Completed</x:v>
      </x:c>
      <x:c r="F398" s="11" t="n">
        <x:v>1</x:v>
      </x:c>
      <x:c r="G398" s="12" t="n">
        <x:f>F398*SUMIFS(Settings!$C$14:$C$17,Settings!$A$14:$A$17,D398)</x:f>
        <x:v>1.5</x:v>
      </x:c>
      <x:c r="H398" s="2" t="str">
        <x:v>No</x:v>
      </x:c>
      <x:c r="I398" s="2" t="str">
        <x:v>Completed the fictional selection.</x:v>
      </x:c>
      <x:c r="J398" s="2" t="str">
        <x:v>Day 26!A23:H23</x:v>
      </x:c>
    </x:row>
    <x:row r="399" ht="23" customHeight="1">
      <x:c r="A399" s="7" t="n">
        <x:v>46229.5</x:v>
      </x:c>
      <x:c r="B399" s="2" t="str">
        <x:v>4:05 PM</x:v>
      </x:c>
      <x:c r="C399" s="2" t="str">
        <x:v>FAKE-26-015</x:v>
      </x:c>
      <x:c r="D399" s="2" t="str">
        <x:f>Settings!$A$14</x:f>
        <x:v>Core Package</x:v>
      </x:c>
      <x:c r="E399" s="2" t="str">
        <x:v>Follow-up</x:v>
      </x:c>
      <x:c r="F399" s="11" t="n">
        <x:v>0</x:v>
      </x:c>
      <x:c r="G399" s="12" t="n">
        <x:f>F399*SUMIFS(Settings!$C$14:$C$17,Settings!$A$14:$A$17,D399)</x:f>
        <x:v>0</x:v>
      </x:c>
      <x:c r="H399" s="2" t="str">
        <x:v>Yes</x:v>
      </x:c>
      <x:c r="I399" s="2" t="str">
        <x:v>Follow-up requested for a later date.</x:v>
      </x:c>
      <x:c r="J399" s="2" t="str">
        <x:v>Day 26!A24:H24</x:v>
      </x:c>
    </x:row>
    <x:row r="400" ht="23" customHeight="1">
      <x:c r="A400" s="7" t="n">
        <x:v>46229.5</x:v>
      </x:c>
      <x:c r="B400" s="2" t="str">
        <x:v>4:35 PM</x:v>
      </x:c>
      <x:c r="C400" s="2" t="str">
        <x:v>FAKE-26-016</x:v>
      </x:c>
      <x:c r="D400" s="2" t="str">
        <x:f>Settings!$A$17</x:f>
        <x:v>Optional Add-on</x:v>
      </x:c>
      <x:c r="E400" s="2" t="str">
        <x:v>No sale</x:v>
      </x:c>
      <x:c r="F400" s="11" t="n">
        <x:v>0</x:v>
      </x:c>
      <x:c r="G400" s="12" t="n">
        <x:f>F400*SUMIFS(Settings!$C$14:$C$17,Settings!$A$14:$A$17,D400)</x:f>
        <x:v>0</x:v>
      </x:c>
      <x:c r="H400" s="2" t="str">
        <x:v>No</x:v>
      </x:c>
      <x:c r="I400" s="2" t="str">
        <x:v>No selection made; no follow-up needed.</x:v>
      </x:c>
      <x:c r="J400" s="2" t="str">
        <x:v>Day 26!A25:H25</x:v>
      </x:c>
    </x:row>
    <x:row r="401" ht="23" customHeight="1">
      <x:c r="A401" s="7" t="n">
        <x:v>46230.5</x:v>
      </x:c>
      <x:c r="B401" s="2" t="str">
        <x:v>9:05 AM</x:v>
      </x:c>
      <x:c r="C401" s="2" t="str">
        <x:v>FAKE-27-001</x:v>
      </x:c>
      <x:c r="D401" s="2" t="str">
        <x:f>Settings!$A$17</x:f>
        <x:v>Optional Add-on</x:v>
      </x:c>
      <x:c r="E401" s="2" t="str">
        <x:v>Completed</x:v>
      </x:c>
      <x:c r="F401" s="11" t="n">
        <x:v>1</x:v>
      </x:c>
      <x:c r="G401" s="12" t="n">
        <x:f>F401*SUMIFS(Settings!$C$14:$C$17,Settings!$A$14:$A$17,D401)</x:f>
        <x:v>0.5</x:v>
      </x:c>
      <x:c r="H401" s="2" t="str">
        <x:v>No</x:v>
      </x:c>
      <x:c r="I401" s="2" t="str">
        <x:v>Completed the fictional selection.</x:v>
      </x:c>
      <x:c r="J401" s="2" t="str">
        <x:v>Day 27!A10:H10</x:v>
      </x:c>
    </x:row>
    <x:row r="402" ht="23" customHeight="1">
      <x:c r="A402" s="7" t="n">
        <x:v>46230.5</x:v>
      </x:c>
      <x:c r="B402" s="2" t="str">
        <x:v>9:35 AM</x:v>
      </x:c>
      <x:c r="C402" s="2" t="str">
        <x:v>FAKE-27-002</x:v>
      </x:c>
      <x:c r="D402" s="2" t="str">
        <x:f>Settings!$A$16</x:f>
        <x:v>Premium Package</x:v>
      </x:c>
      <x:c r="E402" s="2" t="str">
        <x:v>Completed</x:v>
      </x:c>
      <x:c r="F402" s="11" t="n">
        <x:v>1</x:v>
      </x:c>
      <x:c r="G402" s="12" t="n">
        <x:f>F402*SUMIFS(Settings!$C$14:$C$17,Settings!$A$14:$A$17,D402)</x:f>
        <x:v>2</x:v>
      </x:c>
      <x:c r="H402" s="2" t="str">
        <x:v>No</x:v>
      </x:c>
      <x:c r="I402" s="2" t="str">
        <x:v>Completed the fictional selection.</x:v>
      </x:c>
      <x:c r="J402" s="2" t="str">
        <x:v>Day 27!A11:H11</x:v>
      </x:c>
    </x:row>
    <x:row r="403" ht="23" customHeight="1">
      <x:c r="A403" s="7" t="n">
        <x:v>46230.5</x:v>
      </x:c>
      <x:c r="B403" s="2" t="str">
        <x:v>10:05 AM</x:v>
      </x:c>
      <x:c r="C403" s="2" t="str">
        <x:v>FAKE-27-003</x:v>
      </x:c>
      <x:c r="D403" s="2" t="str">
        <x:f>Settings!$A$15</x:f>
        <x:v>Plus Package</x:v>
      </x:c>
      <x:c r="E403" s="2" t="str">
        <x:v>Completed</x:v>
      </x:c>
      <x:c r="F403" s="11" t="n">
        <x:v>1</x:v>
      </x:c>
      <x:c r="G403" s="12" t="n">
        <x:f>F403*SUMIFS(Settings!$C$14:$C$17,Settings!$A$14:$A$17,D403)</x:f>
        <x:v>1.5</x:v>
      </x:c>
      <x:c r="H403" s="2" t="str">
        <x:v>No</x:v>
      </x:c>
      <x:c r="I403" s="2" t="str">
        <x:v>Completed the fictional selection.</x:v>
      </x:c>
      <x:c r="J403" s="2" t="str">
        <x:v>Day 27!A12:H12</x:v>
      </x:c>
    </x:row>
    <x:row r="404" ht="23" customHeight="1">
      <x:c r="A404" s="7" t="n">
        <x:v>46230.5</x:v>
      </x:c>
      <x:c r="B404" s="2" t="str">
        <x:v>10:35 AM</x:v>
      </x:c>
      <x:c r="C404" s="2" t="str">
        <x:v>FAKE-27-004</x:v>
      </x:c>
      <x:c r="D404" s="2" t="str">
        <x:f>Settings!$A$14</x:f>
        <x:v>Core Package</x:v>
      </x:c>
      <x:c r="E404" s="2" t="str">
        <x:v>Follow-up</x:v>
      </x:c>
      <x:c r="F404" s="11" t="n">
        <x:v>0</x:v>
      </x:c>
      <x:c r="G404" s="12" t="n">
        <x:f>F404*SUMIFS(Settings!$C$14:$C$17,Settings!$A$14:$A$17,D404)</x:f>
        <x:v>0</x:v>
      </x:c>
      <x:c r="H404" s="2" t="str">
        <x:v>Yes</x:v>
      </x:c>
      <x:c r="I404" s="2" t="str">
        <x:v>Follow-up requested for a later date.</x:v>
      </x:c>
      <x:c r="J404" s="2" t="str">
        <x:v>Day 27!A13:H13</x:v>
      </x:c>
    </x:row>
    <x:row r="405" ht="23" customHeight="1">
      <x:c r="A405" s="7" t="n">
        <x:v>46230.5</x:v>
      </x:c>
      <x:c r="B405" s="2" t="str">
        <x:v>11:05 AM</x:v>
      </x:c>
      <x:c r="C405" s="2" t="str">
        <x:v>FAKE-27-005</x:v>
      </x:c>
      <x:c r="D405" s="2" t="str">
        <x:f>Settings!$A$17</x:f>
        <x:v>Optional Add-on</x:v>
      </x:c>
      <x:c r="E405" s="2" t="str">
        <x:v>No sale</x:v>
      </x:c>
      <x:c r="F405" s="11" t="n">
        <x:v>0</x:v>
      </x:c>
      <x:c r="G405" s="12" t="n">
        <x:f>F405*SUMIFS(Settings!$C$14:$C$17,Settings!$A$14:$A$17,D405)</x:f>
        <x:v>0</x:v>
      </x:c>
      <x:c r="H405" s="2" t="str">
        <x:v>No</x:v>
      </x:c>
      <x:c r="I405" s="2" t="str">
        <x:v>No selection made; no follow-up needed.</x:v>
      </x:c>
      <x:c r="J405" s="2" t="str">
        <x:v>Day 27!A14:H14</x:v>
      </x:c>
    </x:row>
    <x:row r="406" ht="23" customHeight="1">
      <x:c r="A406" s="7" t="n">
        <x:v>46230.5</x:v>
      </x:c>
      <x:c r="B406" s="2" t="str">
        <x:v>11:35 AM</x:v>
      </x:c>
      <x:c r="C406" s="2" t="str">
        <x:v>FAKE-27-006</x:v>
      </x:c>
      <x:c r="D406" s="2" t="str">
        <x:f>Settings!$A$16</x:f>
        <x:v>Premium Package</x:v>
      </x:c>
      <x:c r="E406" s="2" t="str">
        <x:v>Completed</x:v>
      </x:c>
      <x:c r="F406" s="11" t="n">
        <x:v>1</x:v>
      </x:c>
      <x:c r="G406" s="12" t="n">
        <x:f>F406*SUMIFS(Settings!$C$14:$C$17,Settings!$A$14:$A$17,D406)</x:f>
        <x:v>2</x:v>
      </x:c>
      <x:c r="H406" s="2" t="str">
        <x:v>No</x:v>
      </x:c>
      <x:c r="I406" s="2" t="str">
        <x:v>Completed the fictional selection.</x:v>
      </x:c>
      <x:c r="J406" s="2" t="str">
        <x:v>Day 27!A15:H15</x:v>
      </x:c>
    </x:row>
    <x:row r="407" ht="23" customHeight="1">
      <x:c r="A407" s="7" t="n">
        <x:v>46230.5</x:v>
      </x:c>
      <x:c r="B407" s="2" t="str">
        <x:v>12:05 PM</x:v>
      </x:c>
      <x:c r="C407" s="2" t="str">
        <x:v>FAKE-27-007</x:v>
      </x:c>
      <x:c r="D407" s="2" t="str">
        <x:f>Settings!$A$15</x:f>
        <x:v>Plus Package</x:v>
      </x:c>
      <x:c r="E407" s="2" t="str">
        <x:v>Completed</x:v>
      </x:c>
      <x:c r="F407" s="11" t="n">
        <x:v>1</x:v>
      </x:c>
      <x:c r="G407" s="12" t="n">
        <x:f>F407*SUMIFS(Settings!$C$14:$C$17,Settings!$A$14:$A$17,D407)</x:f>
        <x:v>1.5</x:v>
      </x:c>
      <x:c r="H407" s="2" t="str">
        <x:v>No</x:v>
      </x:c>
      <x:c r="I407" s="2" t="str">
        <x:v>Completed the fictional selection.</x:v>
      </x:c>
      <x:c r="J407" s="2" t="str">
        <x:v>Day 27!A16:H16</x:v>
      </x:c>
    </x:row>
    <x:row r="408" ht="23" customHeight="1">
      <x:c r="A408" s="7" t="n">
        <x:v>46230.5</x:v>
      </x:c>
      <x:c r="B408" s="2" t="str">
        <x:v>12:35 PM</x:v>
      </x:c>
      <x:c r="C408" s="2" t="str">
        <x:v>FAKE-27-008</x:v>
      </x:c>
      <x:c r="D408" s="2" t="str">
        <x:f>Settings!$A$14</x:f>
        <x:v>Core Package</x:v>
      </x:c>
      <x:c r="E408" s="2" t="str">
        <x:v>Completed</x:v>
      </x:c>
      <x:c r="F408" s="11" t="n">
        <x:v>1</x:v>
      </x:c>
      <x:c r="G408" s="12" t="n">
        <x:f>F408*SUMIFS(Settings!$C$14:$C$17,Settings!$A$14:$A$17,D408)</x:f>
        <x:v>1</x:v>
      </x:c>
      <x:c r="H408" s="2" t="str">
        <x:v>No</x:v>
      </x:c>
      <x:c r="I408" s="2" t="str">
        <x:v>Completed the fictional selection.</x:v>
      </x:c>
      <x:c r="J408" s="2" t="str">
        <x:v>Day 27!A17:H17</x:v>
      </x:c>
    </x:row>
    <x:row r="409" ht="23" customHeight="1">
      <x:c r="A409" s="7" t="n">
        <x:v>46230.5</x:v>
      </x:c>
      <x:c r="B409" s="2" t="str">
        <x:v>1:05 PM</x:v>
      </x:c>
      <x:c r="C409" s="2" t="str">
        <x:v>FAKE-27-009</x:v>
      </x:c>
      <x:c r="D409" s="2" t="str">
        <x:f>Settings!$A$17</x:f>
        <x:v>Optional Add-on</x:v>
      </x:c>
      <x:c r="E409" s="2" t="str">
        <x:v>Follow-up</x:v>
      </x:c>
      <x:c r="F409" s="11" t="n">
        <x:v>0</x:v>
      </x:c>
      <x:c r="G409" s="12" t="n">
        <x:f>F409*SUMIFS(Settings!$C$14:$C$17,Settings!$A$14:$A$17,D409)</x:f>
        <x:v>0</x:v>
      </x:c>
      <x:c r="H409" s="2" t="str">
        <x:v>Yes</x:v>
      </x:c>
      <x:c r="I409" s="2" t="str">
        <x:v>Follow-up requested for a later date.</x:v>
      </x:c>
      <x:c r="J409" s="2" t="str">
        <x:v>Day 27!A18:H18</x:v>
      </x:c>
    </x:row>
    <x:row r="410" ht="23" customHeight="1">
      <x:c r="A410" s="7" t="n">
        <x:v>46230.5</x:v>
      </x:c>
      <x:c r="B410" s="2" t="str">
        <x:v>1:35 PM</x:v>
      </x:c>
      <x:c r="C410" s="2" t="str">
        <x:v>FAKE-27-010</x:v>
      </x:c>
      <x:c r="D410" s="2" t="str">
        <x:f>Settings!$A$16</x:f>
        <x:v>Premium Package</x:v>
      </x:c>
      <x:c r="E410" s="2" t="str">
        <x:v>No sale</x:v>
      </x:c>
      <x:c r="F410" s="11" t="n">
        <x:v>0</x:v>
      </x:c>
      <x:c r="G410" s="12" t="n">
        <x:f>F410*SUMIFS(Settings!$C$14:$C$17,Settings!$A$14:$A$17,D410)</x:f>
        <x:v>0</x:v>
      </x:c>
      <x:c r="H410" s="2" t="str">
        <x:v>No</x:v>
      </x:c>
      <x:c r="I410" s="2" t="str">
        <x:v>No selection made; no follow-up needed.</x:v>
      </x:c>
      <x:c r="J410" s="2" t="str">
        <x:v>Day 27!A19:H19</x:v>
      </x:c>
    </x:row>
    <x:row r="411" ht="23" customHeight="1">
      <x:c r="A411" s="7" t="n">
        <x:v>46230.5</x:v>
      </x:c>
      <x:c r="B411" s="2" t="str">
        <x:v>2:05 PM</x:v>
      </x:c>
      <x:c r="C411" s="2" t="str">
        <x:v>FAKE-27-011</x:v>
      </x:c>
      <x:c r="D411" s="2" t="str">
        <x:f>Settings!$A$15</x:f>
        <x:v>Plus Package</x:v>
      </x:c>
      <x:c r="E411" s="2" t="str">
        <x:v>Completed</x:v>
      </x:c>
      <x:c r="F411" s="11" t="n">
        <x:v>1</x:v>
      </x:c>
      <x:c r="G411" s="12" t="n">
        <x:f>F411*SUMIFS(Settings!$C$14:$C$17,Settings!$A$14:$A$17,D411)</x:f>
        <x:v>1.5</x:v>
      </x:c>
      <x:c r="H411" s="2" t="str">
        <x:v>No</x:v>
      </x:c>
      <x:c r="I411" s="2" t="str">
        <x:v>Completed the fictional selection.</x:v>
      </x:c>
      <x:c r="J411" s="2" t="str">
        <x:v>Day 27!A20:H20</x:v>
      </x:c>
    </x:row>
    <x:row r="412" ht="23" customHeight="1">
      <x:c r="A412" s="7" t="n">
        <x:v>46230.5</x:v>
      </x:c>
      <x:c r="B412" s="2" t="str">
        <x:v>2:35 PM</x:v>
      </x:c>
      <x:c r="C412" s="2" t="str">
        <x:v>FAKE-27-012</x:v>
      </x:c>
      <x:c r="D412" s="2" t="str">
        <x:f>Settings!$A$14</x:f>
        <x:v>Core Package</x:v>
      </x:c>
      <x:c r="E412" s="2" t="str">
        <x:v>Completed</x:v>
      </x:c>
      <x:c r="F412" s="11" t="n">
        <x:v>1</x:v>
      </x:c>
      <x:c r="G412" s="12" t="n">
        <x:f>F412*SUMIFS(Settings!$C$14:$C$17,Settings!$A$14:$A$17,D412)</x:f>
        <x:v>1</x:v>
      </x:c>
      <x:c r="H412" s="2" t="str">
        <x:v>No</x:v>
      </x:c>
      <x:c r="I412" s="2" t="str">
        <x:v>Completed the fictional selection.</x:v>
      </x:c>
      <x:c r="J412" s="2" t="str">
        <x:v>Day 27!A21:H21</x:v>
      </x:c>
    </x:row>
    <x:row r="413" ht="23" customHeight="1">
      <x:c r="A413" s="7" t="n">
        <x:v>46230.5</x:v>
      </x:c>
      <x:c r="B413" s="2" t="str">
        <x:v>3:05 PM</x:v>
      </x:c>
      <x:c r="C413" s="2" t="str">
        <x:v>FAKE-27-013</x:v>
      </x:c>
      <x:c r="D413" s="2" t="str">
        <x:f>Settings!$A$17</x:f>
        <x:v>Optional Add-on</x:v>
      </x:c>
      <x:c r="E413" s="2" t="str">
        <x:v>Completed</x:v>
      </x:c>
      <x:c r="F413" s="11" t="n">
        <x:v>1</x:v>
      </x:c>
      <x:c r="G413" s="12" t="n">
        <x:f>F413*SUMIFS(Settings!$C$14:$C$17,Settings!$A$14:$A$17,D413)</x:f>
        <x:v>0.5</x:v>
      </x:c>
      <x:c r="H413" s="2" t="str">
        <x:v>No</x:v>
      </x:c>
      <x:c r="I413" s="2" t="str">
        <x:v>Completed the fictional selection.</x:v>
      </x:c>
      <x:c r="J413" s="2" t="str">
        <x:v>Day 27!A22:H22</x:v>
      </x:c>
    </x:row>
    <x:row r="414" ht="23" customHeight="1">
      <x:c r="A414" s="7" t="n">
        <x:v>46230.5</x:v>
      </x:c>
      <x:c r="B414" s="2" t="str">
        <x:v>3:35 PM</x:v>
      </x:c>
      <x:c r="C414" s="2" t="str">
        <x:v>FAKE-27-014</x:v>
      </x:c>
      <x:c r="D414" s="2" t="str">
        <x:f>Settings!$A$16</x:f>
        <x:v>Premium Package</x:v>
      </x:c>
      <x:c r="E414" s="2" t="str">
        <x:v>Follow-up</x:v>
      </x:c>
      <x:c r="F414" s="11" t="n">
        <x:v>0</x:v>
      </x:c>
      <x:c r="G414" s="12" t="n">
        <x:f>F414*SUMIFS(Settings!$C$14:$C$17,Settings!$A$14:$A$17,D414)</x:f>
        <x:v>0</x:v>
      </x:c>
      <x:c r="H414" s="2" t="str">
        <x:v>Yes</x:v>
      </x:c>
      <x:c r="I414" s="2" t="str">
        <x:v>Follow-up requested for a later date.</x:v>
      </x:c>
      <x:c r="J414" s="2" t="str">
        <x:v>Day 27!A23:H23</x:v>
      </x:c>
    </x:row>
    <x:row r="415" ht="23" customHeight="1">
      <x:c r="A415" s="7" t="n">
        <x:v>46231.5</x:v>
      </x:c>
      <x:c r="B415" s="2" t="str">
        <x:v>9:05 AM</x:v>
      </x:c>
      <x:c r="C415" s="2" t="str">
        <x:v>FAKE-28-001</x:v>
      </x:c>
      <x:c r="D415" s="2" t="str">
        <x:f>Settings!$A$14</x:f>
        <x:v>Core Package</x:v>
      </x:c>
      <x:c r="E415" s="2" t="str">
        <x:v>Completed</x:v>
      </x:c>
      <x:c r="F415" s="11" t="n">
        <x:v>1</x:v>
      </x:c>
      <x:c r="G415" s="12" t="n">
        <x:f>F415*SUMIFS(Settings!$C$14:$C$17,Settings!$A$14:$A$17,D415)</x:f>
        <x:v>1</x:v>
      </x:c>
      <x:c r="H415" s="2" t="str">
        <x:v>No</x:v>
      </x:c>
      <x:c r="I415" s="2" t="str">
        <x:v>Completed the fictional selection.</x:v>
      </x:c>
      <x:c r="J415" s="2" t="str">
        <x:v>Day 28!A10:H10</x:v>
      </x:c>
    </x:row>
    <x:row r="416" ht="23" customHeight="1">
      <x:c r="A416" s="7" t="n">
        <x:v>46231.5</x:v>
      </x:c>
      <x:c r="B416" s="2" t="str">
        <x:v>9:35 AM</x:v>
      </x:c>
      <x:c r="C416" s="2" t="str">
        <x:v>FAKE-28-002</x:v>
      </x:c>
      <x:c r="D416" s="2" t="str">
        <x:f>Settings!$A$17</x:f>
        <x:v>Optional Add-on</x:v>
      </x:c>
      <x:c r="E416" s="2" t="str">
        <x:v>Follow-up</x:v>
      </x:c>
      <x:c r="F416" s="11" t="n">
        <x:v>0</x:v>
      </x:c>
      <x:c r="G416" s="12" t="n">
        <x:f>F416*SUMIFS(Settings!$C$14:$C$17,Settings!$A$14:$A$17,D416)</x:f>
        <x:v>0</x:v>
      </x:c>
      <x:c r="H416" s="2" t="str">
        <x:v>Yes</x:v>
      </x:c>
      <x:c r="I416" s="2" t="str">
        <x:v>Follow-up requested for a later date.</x:v>
      </x:c>
      <x:c r="J416" s="2" t="str">
        <x:v>Day 28!A11:H11</x:v>
      </x:c>
    </x:row>
    <x:row r="417" ht="23" customHeight="1">
      <x:c r="A417" s="7" t="n">
        <x:v>46231.5</x:v>
      </x:c>
      <x:c r="B417" s="2" t="str">
        <x:v>10:05 AM</x:v>
      </x:c>
      <x:c r="C417" s="2" t="str">
        <x:v>FAKE-28-003</x:v>
      </x:c>
      <x:c r="D417" s="2" t="str">
        <x:f>Settings!$A$16</x:f>
        <x:v>Premium Package</x:v>
      </x:c>
      <x:c r="E417" s="2" t="str">
        <x:v>No sale</x:v>
      </x:c>
      <x:c r="F417" s="11" t="n">
        <x:v>0</x:v>
      </x:c>
      <x:c r="G417" s="12" t="n">
        <x:f>F417*SUMIFS(Settings!$C$14:$C$17,Settings!$A$14:$A$17,D417)</x:f>
        <x:v>0</x:v>
      </x:c>
      <x:c r="H417" s="2" t="str">
        <x:v>No</x:v>
      </x:c>
      <x:c r="I417" s="2" t="str">
        <x:v>No selection made; no follow-up needed.</x:v>
      </x:c>
      <x:c r="J417" s="2" t="str">
        <x:v>Day 28!A12:H12</x:v>
      </x:c>
    </x:row>
    <x:row r="418" ht="23" customHeight="1">
      <x:c r="A418" s="7" t="n">
        <x:v>46231.5</x:v>
      </x:c>
      <x:c r="B418" s="2" t="str">
        <x:v>10:35 AM</x:v>
      </x:c>
      <x:c r="C418" s="2" t="str">
        <x:v>FAKE-28-004</x:v>
      </x:c>
      <x:c r="D418" s="2" t="str">
        <x:f>Settings!$A$15</x:f>
        <x:v>Plus Package</x:v>
      </x:c>
      <x:c r="E418" s="2" t="str">
        <x:v>Completed</x:v>
      </x:c>
      <x:c r="F418" s="11" t="n">
        <x:v>2</x:v>
      </x:c>
      <x:c r="G418" s="12" t="n">
        <x:f>F418*SUMIFS(Settings!$C$14:$C$17,Settings!$A$14:$A$17,D418)</x:f>
        <x:v>3</x:v>
      </x:c>
      <x:c r="H418" s="2" t="str">
        <x:v>No</x:v>
      </x:c>
      <x:c r="I418" s="2" t="str">
        <x:v>Completed the fictional selection.</x:v>
      </x:c>
      <x:c r="J418" s="2" t="str">
        <x:v>Day 28!A13:H13</x:v>
      </x:c>
    </x:row>
    <x:row r="419" ht="23" customHeight="1">
      <x:c r="A419" s="7" t="n">
        <x:v>46231.5</x:v>
      </x:c>
      <x:c r="B419" s="2" t="str">
        <x:v>11:05 AM</x:v>
      </x:c>
      <x:c r="C419" s="2" t="str">
        <x:v>FAKE-28-005</x:v>
      </x:c>
      <x:c r="D419" s="2" t="str">
        <x:f>Settings!$A$14</x:f>
        <x:v>Core Package</x:v>
      </x:c>
      <x:c r="E419" s="2" t="str">
        <x:v>Completed</x:v>
      </x:c>
      <x:c r="F419" s="11" t="n">
        <x:v>1</x:v>
      </x:c>
      <x:c r="G419" s="12" t="n">
        <x:f>F419*SUMIFS(Settings!$C$14:$C$17,Settings!$A$14:$A$17,D419)</x:f>
        <x:v>1</x:v>
      </x:c>
      <x:c r="H419" s="2" t="str">
        <x:v>No</x:v>
      </x:c>
      <x:c r="I419" s="2" t="str">
        <x:v>Completed the fictional selection.</x:v>
      </x:c>
      <x:c r="J419" s="2" t="str">
        <x:v>Day 28!A14:H14</x:v>
      </x:c>
    </x:row>
    <x:row r="420" ht="23" customHeight="1">
      <x:c r="A420" s="7" t="n">
        <x:v>46231.5</x:v>
      </x:c>
      <x:c r="B420" s="2" t="str">
        <x:v>11:35 AM</x:v>
      </x:c>
      <x:c r="C420" s="2" t="str">
        <x:v>FAKE-28-006</x:v>
      </x:c>
      <x:c r="D420" s="2" t="str">
        <x:f>Settings!$A$17</x:f>
        <x:v>Optional Add-on</x:v>
      </x:c>
      <x:c r="E420" s="2" t="str">
        <x:v>Completed</x:v>
      </x:c>
      <x:c r="F420" s="11" t="n">
        <x:v>1</x:v>
      </x:c>
      <x:c r="G420" s="12" t="n">
        <x:f>F420*SUMIFS(Settings!$C$14:$C$17,Settings!$A$14:$A$17,D420)</x:f>
        <x:v>0.5</x:v>
      </x:c>
      <x:c r="H420" s="2" t="str">
        <x:v>No</x:v>
      </x:c>
      <x:c r="I420" s="2" t="str">
        <x:v>Completed the fictional selection.</x:v>
      </x:c>
      <x:c r="J420" s="2" t="str">
        <x:v>Day 28!A15:H15</x:v>
      </x:c>
    </x:row>
    <x:row r="421" ht="23" customHeight="1">
      <x:c r="A421" s="7" t="n">
        <x:v>46231.5</x:v>
      </x:c>
      <x:c r="B421" s="2" t="str">
        <x:v>12:05 PM</x:v>
      </x:c>
      <x:c r="C421" s="2" t="str">
        <x:v>FAKE-28-007</x:v>
      </x:c>
      <x:c r="D421" s="2" t="str">
        <x:f>Settings!$A$16</x:f>
        <x:v>Premium Package</x:v>
      </x:c>
      <x:c r="E421" s="2" t="str">
        <x:v>Follow-up</x:v>
      </x:c>
      <x:c r="F421" s="11" t="n">
        <x:v>0</x:v>
      </x:c>
      <x:c r="G421" s="12" t="n">
        <x:f>F421*SUMIFS(Settings!$C$14:$C$17,Settings!$A$14:$A$17,D421)</x:f>
        <x:v>0</x:v>
      </x:c>
      <x:c r="H421" s="2" t="str">
        <x:v>Yes</x:v>
      </x:c>
      <x:c r="I421" s="2" t="str">
        <x:v>Follow-up requested for a later date.</x:v>
      </x:c>
      <x:c r="J421" s="2" t="str">
        <x:v>Day 28!A16:H16</x:v>
      </x:c>
    </x:row>
    <x:row r="422" ht="23" customHeight="1">
      <x:c r="A422" s="7" t="n">
        <x:v>46231.5</x:v>
      </x:c>
      <x:c r="B422" s="2" t="str">
        <x:v>12:35 PM</x:v>
      </x:c>
      <x:c r="C422" s="2" t="str">
        <x:v>FAKE-28-008</x:v>
      </x:c>
      <x:c r="D422" s="2" t="str">
        <x:f>Settings!$A$15</x:f>
        <x:v>Plus Package</x:v>
      </x:c>
      <x:c r="E422" s="2" t="str">
        <x:v>No sale</x:v>
      </x:c>
      <x:c r="F422" s="11" t="n">
        <x:v>0</x:v>
      </x:c>
      <x:c r="G422" s="12" t="n">
        <x:f>F422*SUMIFS(Settings!$C$14:$C$17,Settings!$A$14:$A$17,D422)</x:f>
        <x:v>0</x:v>
      </x:c>
      <x:c r="H422" s="2" t="str">
        <x:v>No</x:v>
      </x:c>
      <x:c r="I422" s="2" t="str">
        <x:v>No selection made; no follow-up needed.</x:v>
      </x:c>
      <x:c r="J422" s="2" t="str">
        <x:v>Day 28!A17:H17</x:v>
      </x:c>
    </x:row>
    <x:row r="423" ht="23" customHeight="1">
      <x:c r="A423" s="7" t="n">
        <x:v>46231.5</x:v>
      </x:c>
      <x:c r="B423" s="2" t="str">
        <x:v>1:05 PM</x:v>
      </x:c>
      <x:c r="C423" s="2" t="str">
        <x:v>FAKE-28-009</x:v>
      </x:c>
      <x:c r="D423" s="2" t="str">
        <x:f>Settings!$A$14</x:f>
        <x:v>Core Package</x:v>
      </x:c>
      <x:c r="E423" s="2" t="str">
        <x:v>Completed</x:v>
      </x:c>
      <x:c r="F423" s="11" t="n">
        <x:v>2</x:v>
      </x:c>
      <x:c r="G423" s="12" t="n">
        <x:f>F423*SUMIFS(Settings!$C$14:$C$17,Settings!$A$14:$A$17,D423)</x:f>
        <x:v>2</x:v>
      </x:c>
      <x:c r="H423" s="2" t="str">
        <x:v>No</x:v>
      </x:c>
      <x:c r="I423" s="2" t="str">
        <x:v>Completed the fictional selection.</x:v>
      </x:c>
      <x:c r="J423" s="2" t="str">
        <x:v>Day 28!A18:H18</x:v>
      </x:c>
    </x:row>
    <x:row r="424" ht="23" customHeight="1">
      <x:c r="A424" s="7" t="n">
        <x:v>46231.5</x:v>
      </x:c>
      <x:c r="B424" s="2" t="str">
        <x:v>1:35 PM</x:v>
      </x:c>
      <x:c r="C424" s="2" t="str">
        <x:v>FAKE-28-010</x:v>
      </x:c>
      <x:c r="D424" s="2" t="str">
        <x:f>Settings!$A$17</x:f>
        <x:v>Optional Add-on</x:v>
      </x:c>
      <x:c r="E424" s="2" t="str">
        <x:v>Completed</x:v>
      </x:c>
      <x:c r="F424" s="11" t="n">
        <x:v>1</x:v>
      </x:c>
      <x:c r="G424" s="12" t="n">
        <x:f>F424*SUMIFS(Settings!$C$14:$C$17,Settings!$A$14:$A$17,D424)</x:f>
        <x:v>0.5</x:v>
      </x:c>
      <x:c r="H424" s="2" t="str">
        <x:v>No</x:v>
      </x:c>
      <x:c r="I424" s="2" t="str">
        <x:v>Completed the fictional selection.</x:v>
      </x:c>
      <x:c r="J424" s="2" t="str">
        <x:v>Day 28!A19:H19</x:v>
      </x:c>
    </x:row>
    <x:row r="425" ht="23" customHeight="1">
      <x:c r="A425" s="7" t="n">
        <x:v>46231.5</x:v>
      </x:c>
      <x:c r="B425" s="2" t="str">
        <x:v>2:05 PM</x:v>
      </x:c>
      <x:c r="C425" s="2" t="str">
        <x:v>FAKE-28-011</x:v>
      </x:c>
      <x:c r="D425" s="2" t="str">
        <x:f>Settings!$A$16</x:f>
        <x:v>Premium Package</x:v>
      </x:c>
      <x:c r="E425" s="2" t="str">
        <x:v>Completed</x:v>
      </x:c>
      <x:c r="F425" s="11" t="n">
        <x:v>1</x:v>
      </x:c>
      <x:c r="G425" s="12" t="n">
        <x:f>F425*SUMIFS(Settings!$C$14:$C$17,Settings!$A$14:$A$17,D425)</x:f>
        <x:v>2</x:v>
      </x:c>
      <x:c r="H425" s="2" t="str">
        <x:v>No</x:v>
      </x:c>
      <x:c r="I425" s="2" t="str">
        <x:v>Completed the fictional selection.</x:v>
      </x:c>
      <x:c r="J425" s="2" t="str">
        <x:v>Day 28!A20:H20</x:v>
      </x:c>
    </x:row>
    <x:row r="426" ht="23" customHeight="1">
      <x:c r="A426" s="7" t="n">
        <x:v>46231.5</x:v>
      </x:c>
      <x:c r="B426" s="2" t="str">
        <x:v>2:35 PM</x:v>
      </x:c>
      <x:c r="C426" s="2" t="str">
        <x:v>FAKE-28-012</x:v>
      </x:c>
      <x:c r="D426" s="2" t="str">
        <x:f>Settings!$A$15</x:f>
        <x:v>Plus Package</x:v>
      </x:c>
      <x:c r="E426" s="2" t="str">
        <x:v>Follow-up</x:v>
      </x:c>
      <x:c r="F426" s="11" t="n">
        <x:v>0</x:v>
      </x:c>
      <x:c r="G426" s="12" t="n">
        <x:f>F426*SUMIFS(Settings!$C$14:$C$17,Settings!$A$14:$A$17,D426)</x:f>
        <x:v>0</x:v>
      </x:c>
      <x:c r="H426" s="2" t="str">
        <x:v>Yes</x:v>
      </x:c>
      <x:c r="I426" s="2" t="str">
        <x:v>Follow-up requested for a later date.</x:v>
      </x:c>
      <x:c r="J426" s="2" t="str">
        <x:v>Day 28!A21:H21</x:v>
      </x:c>
    </x:row>
    <x:row r="427" ht="23" customHeight="1">
      <x:c r="A427" s="7" t="n">
        <x:v>46232.5</x:v>
      </x:c>
      <x:c r="B427" s="2" t="str">
        <x:v>9:05 AM</x:v>
      </x:c>
      <x:c r="C427" s="2" t="str">
        <x:v>FAKE-29-001</x:v>
      </x:c>
      <x:c r="D427" s="2" t="str">
        <x:f>Settings!$A$15</x:f>
        <x:v>Plus Package</x:v>
      </x:c>
      <x:c r="E427" s="2" t="str">
        <x:v>Follow-up</x:v>
      </x:c>
      <x:c r="F427" s="11" t="n">
        <x:v>0</x:v>
      </x:c>
      <x:c r="G427" s="12" t="n">
        <x:f>F427*SUMIFS(Settings!$C$14:$C$17,Settings!$A$14:$A$17,D427)</x:f>
        <x:v>0</x:v>
      </x:c>
      <x:c r="H427" s="2" t="str">
        <x:v>Yes</x:v>
      </x:c>
      <x:c r="I427" s="2" t="str">
        <x:v>Follow-up requested for a later date.</x:v>
      </x:c>
      <x:c r="J427" s="2" t="str">
        <x:v>Day 29!A10:H10</x:v>
      </x:c>
    </x:row>
    <x:row r="428" ht="23" customHeight="1">
      <x:c r="A428" s="7" t="n">
        <x:v>46232.5</x:v>
      </x:c>
      <x:c r="B428" s="2" t="str">
        <x:v>9:35 AM</x:v>
      </x:c>
      <x:c r="C428" s="2" t="str">
        <x:v>FAKE-29-002</x:v>
      </x:c>
      <x:c r="D428" s="2" t="str">
        <x:f>Settings!$A$14</x:f>
        <x:v>Core Package</x:v>
      </x:c>
      <x:c r="E428" s="2" t="str">
        <x:v>No sale</x:v>
      </x:c>
      <x:c r="F428" s="11" t="n">
        <x:v>0</x:v>
      </x:c>
      <x:c r="G428" s="12" t="n">
        <x:f>F428*SUMIFS(Settings!$C$14:$C$17,Settings!$A$14:$A$17,D428)</x:f>
        <x:v>0</x:v>
      </x:c>
      <x:c r="H428" s="2" t="str">
        <x:v>No</x:v>
      </x:c>
      <x:c r="I428" s="2" t="str">
        <x:v>No selection made; no follow-up needed.</x:v>
      </x:c>
      <x:c r="J428" s="2" t="str">
        <x:v>Day 29!A11:H11</x:v>
      </x:c>
    </x:row>
    <x:row r="429" ht="23" customHeight="1">
      <x:c r="A429" s="7" t="n">
        <x:v>46232.5</x:v>
      </x:c>
      <x:c r="B429" s="2" t="str">
        <x:v>10:05 AM</x:v>
      </x:c>
      <x:c r="C429" s="2" t="str">
        <x:v>FAKE-29-003</x:v>
      </x:c>
      <x:c r="D429" s="2" t="str">
        <x:f>Settings!$A$17</x:f>
        <x:v>Optional Add-on</x:v>
      </x:c>
      <x:c r="E429" s="2" t="str">
        <x:v>Completed</x:v>
      </x:c>
      <x:c r="F429" s="11" t="n">
        <x:v>1</x:v>
      </x:c>
      <x:c r="G429" s="12" t="n">
        <x:f>F429*SUMIFS(Settings!$C$14:$C$17,Settings!$A$14:$A$17,D429)</x:f>
        <x:v>0.5</x:v>
      </x:c>
      <x:c r="H429" s="2" t="str">
        <x:v>No</x:v>
      </x:c>
      <x:c r="I429" s="2" t="str">
        <x:v>Completed the fictional selection.</x:v>
      </x:c>
      <x:c r="J429" s="2" t="str">
        <x:v>Day 29!A12:H12</x:v>
      </x:c>
    </x:row>
    <x:row r="430" ht="23" customHeight="1">
      <x:c r="A430" s="7" t="n">
        <x:v>46232.5</x:v>
      </x:c>
      <x:c r="B430" s="2" t="str">
        <x:v>10:35 AM</x:v>
      </x:c>
      <x:c r="C430" s="2" t="str">
        <x:v>FAKE-29-004</x:v>
      </x:c>
      <x:c r="D430" s="2" t="str">
        <x:f>Settings!$A$16</x:f>
        <x:v>Premium Package</x:v>
      </x:c>
      <x:c r="E430" s="2" t="str">
        <x:v>Completed</x:v>
      </x:c>
      <x:c r="F430" s="11" t="n">
        <x:v>1</x:v>
      </x:c>
      <x:c r="G430" s="12" t="n">
        <x:f>F430*SUMIFS(Settings!$C$14:$C$17,Settings!$A$14:$A$17,D430)</x:f>
        <x:v>2</x:v>
      </x:c>
      <x:c r="H430" s="2" t="str">
        <x:v>No</x:v>
      </x:c>
      <x:c r="I430" s="2" t="str">
        <x:v>Completed the fictional selection.</x:v>
      </x:c>
      <x:c r="J430" s="2" t="str">
        <x:v>Day 29!A13:H13</x:v>
      </x:c>
    </x:row>
    <x:row r="431" ht="23" customHeight="1">
      <x:c r="A431" s="7" t="n">
        <x:v>46232.5</x:v>
      </x:c>
      <x:c r="B431" s="2" t="str">
        <x:v>11:05 AM</x:v>
      </x:c>
      <x:c r="C431" s="2" t="str">
        <x:v>FAKE-29-005</x:v>
      </x:c>
      <x:c r="D431" s="2" t="str">
        <x:f>Settings!$A$15</x:f>
        <x:v>Plus Package</x:v>
      </x:c>
      <x:c r="E431" s="2" t="str">
        <x:v>Completed</x:v>
      </x:c>
      <x:c r="F431" s="11" t="n">
        <x:v>1</x:v>
      </x:c>
      <x:c r="G431" s="12" t="n">
        <x:f>F431*SUMIFS(Settings!$C$14:$C$17,Settings!$A$14:$A$17,D431)</x:f>
        <x:v>1.5</x:v>
      </x:c>
      <x:c r="H431" s="2" t="str">
        <x:v>No</x:v>
      </x:c>
      <x:c r="I431" s="2" t="str">
        <x:v>Completed the fictional selection.</x:v>
      </x:c>
      <x:c r="J431" s="2" t="str">
        <x:v>Day 29!A14:H14</x:v>
      </x:c>
    </x:row>
    <x:row r="432" ht="23" customHeight="1">
      <x:c r="A432" s="7" t="n">
        <x:v>46232.5</x:v>
      </x:c>
      <x:c r="B432" s="2" t="str">
        <x:v>11:35 AM</x:v>
      </x:c>
      <x:c r="C432" s="2" t="str">
        <x:v>FAKE-29-006</x:v>
      </x:c>
      <x:c r="D432" s="2" t="str">
        <x:f>Settings!$A$14</x:f>
        <x:v>Core Package</x:v>
      </x:c>
      <x:c r="E432" s="2" t="str">
        <x:v>Follow-up</x:v>
      </x:c>
      <x:c r="F432" s="11" t="n">
        <x:v>0</x:v>
      </x:c>
      <x:c r="G432" s="12" t="n">
        <x:f>F432*SUMIFS(Settings!$C$14:$C$17,Settings!$A$14:$A$17,D432)</x:f>
        <x:v>0</x:v>
      </x:c>
      <x:c r="H432" s="2" t="str">
        <x:v>Yes</x:v>
      </x:c>
      <x:c r="I432" s="2" t="str">
        <x:v>Follow-up requested for a later date.</x:v>
      </x:c>
      <x:c r="J432" s="2" t="str">
        <x:v>Day 29!A15:H15</x:v>
      </x:c>
    </x:row>
    <x:row r="433" ht="23" customHeight="1">
      <x:c r="A433" s="7" t="n">
        <x:v>46232.5</x:v>
      </x:c>
      <x:c r="B433" s="2" t="str">
        <x:v>12:05 PM</x:v>
      </x:c>
      <x:c r="C433" s="2" t="str">
        <x:v>FAKE-29-007</x:v>
      </x:c>
      <x:c r="D433" s="2" t="str">
        <x:f>Settings!$A$17</x:f>
        <x:v>Optional Add-on</x:v>
      </x:c>
      <x:c r="E433" s="2" t="str">
        <x:v>No sale</x:v>
      </x:c>
      <x:c r="F433" s="11" t="n">
        <x:v>0</x:v>
      </x:c>
      <x:c r="G433" s="12" t="n">
        <x:f>F433*SUMIFS(Settings!$C$14:$C$17,Settings!$A$14:$A$17,D433)</x:f>
        <x:v>0</x:v>
      </x:c>
      <x:c r="H433" s="2" t="str">
        <x:v>No</x:v>
      </x:c>
      <x:c r="I433" s="2" t="str">
        <x:v>No selection made; no follow-up needed.</x:v>
      </x:c>
      <x:c r="J433" s="2" t="str">
        <x:v>Day 29!A16:H16</x:v>
      </x:c>
    </x:row>
    <x:row r="434" ht="23" customHeight="1">
      <x:c r="A434" s="7" t="n">
        <x:v>46232.5</x:v>
      </x:c>
      <x:c r="B434" s="2" t="str">
        <x:v>12:35 PM</x:v>
      </x:c>
      <x:c r="C434" s="2" t="str">
        <x:v>FAKE-29-008</x:v>
      </x:c>
      <x:c r="D434" s="2" t="str">
        <x:f>Settings!$A$16</x:f>
        <x:v>Premium Package</x:v>
      </x:c>
      <x:c r="E434" s="2" t="str">
        <x:v>Completed</x:v>
      </x:c>
      <x:c r="F434" s="11" t="n">
        <x:v>1</x:v>
      </x:c>
      <x:c r="G434" s="12" t="n">
        <x:f>F434*SUMIFS(Settings!$C$14:$C$17,Settings!$A$14:$A$17,D434)</x:f>
        <x:v>2</x:v>
      </x:c>
      <x:c r="H434" s="2" t="str">
        <x:v>No</x:v>
      </x:c>
      <x:c r="I434" s="2" t="str">
        <x:v>Completed the fictional selection.</x:v>
      </x:c>
      <x:c r="J434" s="2" t="str">
        <x:v>Day 29!A17:H17</x:v>
      </x:c>
    </x:row>
    <x:row r="435" ht="23" customHeight="1">
      <x:c r="A435" s="7" t="n">
        <x:v>46232.5</x:v>
      </x:c>
      <x:c r="B435" s="2" t="str">
        <x:v>1:05 PM</x:v>
      </x:c>
      <x:c r="C435" s="2" t="str">
        <x:v>FAKE-29-009</x:v>
      </x:c>
      <x:c r="D435" s="2" t="str">
        <x:f>Settings!$A$15</x:f>
        <x:v>Plus Package</x:v>
      </x:c>
      <x:c r="E435" s="2" t="str">
        <x:v>Completed</x:v>
      </x:c>
      <x:c r="F435" s="11" t="n">
        <x:v>1</x:v>
      </x:c>
      <x:c r="G435" s="12" t="n">
        <x:f>F435*SUMIFS(Settings!$C$14:$C$17,Settings!$A$14:$A$17,D435)</x:f>
        <x:v>1.5</x:v>
      </x:c>
      <x:c r="H435" s="2" t="str">
        <x:v>No</x:v>
      </x:c>
      <x:c r="I435" s="2" t="str">
        <x:v>Completed the fictional selection.</x:v>
      </x:c>
      <x:c r="J435" s="2" t="str">
        <x:v>Day 29!A18:H18</x:v>
      </x:c>
    </x:row>
    <x:row r="436" ht="23" customHeight="1">
      <x:c r="A436" s="7" t="n">
        <x:v>46232.5</x:v>
      </x:c>
      <x:c r="B436" s="2" t="str">
        <x:v>1:35 PM</x:v>
      </x:c>
      <x:c r="C436" s="2" t="str">
        <x:v>FAKE-29-010</x:v>
      </x:c>
      <x:c r="D436" s="2" t="str">
        <x:f>Settings!$A$14</x:f>
        <x:v>Core Package</x:v>
      </x:c>
      <x:c r="E436" s="2" t="str">
        <x:v>Completed</x:v>
      </x:c>
      <x:c r="F436" s="11" t="n">
        <x:v>1</x:v>
      </x:c>
      <x:c r="G436" s="12" t="n">
        <x:f>F436*SUMIFS(Settings!$C$14:$C$17,Settings!$A$14:$A$17,D436)</x:f>
        <x:v>1</x:v>
      </x:c>
      <x:c r="H436" s="2" t="str">
        <x:v>No</x:v>
      </x:c>
      <x:c r="I436" s="2" t="str">
        <x:v>Completed the fictional selection.</x:v>
      </x:c>
      <x:c r="J436" s="2" t="str">
        <x:v>Day 29!A19:H19</x:v>
      </x:c>
    </x:row>
    <x:row r="437" ht="23" customHeight="1">
      <x:c r="A437" s="7" t="n">
        <x:v>46232.5</x:v>
      </x:c>
      <x:c r="B437" s="2" t="str">
        <x:v>2:05 PM</x:v>
      </x:c>
      <x:c r="C437" s="2" t="str">
        <x:v>FAKE-29-011</x:v>
      </x:c>
      <x:c r="D437" s="2" t="str">
        <x:f>Settings!$A$17</x:f>
        <x:v>Optional Add-on</x:v>
      </x:c>
      <x:c r="E437" s="2" t="str">
        <x:v>Follow-up</x:v>
      </x:c>
      <x:c r="F437" s="11" t="n">
        <x:v>0</x:v>
      </x:c>
      <x:c r="G437" s="12" t="n">
        <x:f>F437*SUMIFS(Settings!$C$14:$C$17,Settings!$A$14:$A$17,D437)</x:f>
        <x:v>0</x:v>
      </x:c>
      <x:c r="H437" s="2" t="str">
        <x:v>Yes</x:v>
      </x:c>
      <x:c r="I437" s="2" t="str">
        <x:v>Follow-up requested for a later date.</x:v>
      </x:c>
      <x:c r="J437" s="2" t="str">
        <x:v>Day 29!A20:H20</x:v>
      </x:c>
    </x:row>
    <x:row r="438" ht="23" customHeight="1">
      <x:c r="A438" s="7" t="n">
        <x:v>46232.5</x:v>
      </x:c>
      <x:c r="B438" s="2" t="str">
        <x:v>2:35 PM</x:v>
      </x:c>
      <x:c r="C438" s="2" t="str">
        <x:v>FAKE-29-012</x:v>
      </x:c>
      <x:c r="D438" s="2" t="str">
        <x:f>Settings!$A$16</x:f>
        <x:v>Premium Package</x:v>
      </x:c>
      <x:c r="E438" s="2" t="str">
        <x:v>No sale</x:v>
      </x:c>
      <x:c r="F438" s="11" t="n">
        <x:v>0</x:v>
      </x:c>
      <x:c r="G438" s="12" t="n">
        <x:f>F438*SUMIFS(Settings!$C$14:$C$17,Settings!$A$14:$A$17,D438)</x:f>
        <x:v>0</x:v>
      </x:c>
      <x:c r="H438" s="2" t="str">
        <x:v>No</x:v>
      </x:c>
      <x:c r="I438" s="2" t="str">
        <x:v>No selection made; no follow-up needed.</x:v>
      </x:c>
      <x:c r="J438" s="2" t="str">
        <x:v>Day 29!A21:H21</x:v>
      </x:c>
    </x:row>
    <x:row r="439" ht="23" customHeight="1">
      <x:c r="A439" s="7" t="n">
        <x:v>46232.5</x:v>
      </x:c>
      <x:c r="B439" s="2" t="str">
        <x:v>3:05 PM</x:v>
      </x:c>
      <x:c r="C439" s="2" t="str">
        <x:v>FAKE-29-013</x:v>
      </x:c>
      <x:c r="D439" s="2" t="str">
        <x:f>Settings!$A$15</x:f>
        <x:v>Plus Package</x:v>
      </x:c>
      <x:c r="E439" s="2" t="str">
        <x:v>Completed</x:v>
      </x:c>
      <x:c r="F439" s="11" t="n">
        <x:v>1</x:v>
      </x:c>
      <x:c r="G439" s="12" t="n">
        <x:f>F439*SUMIFS(Settings!$C$14:$C$17,Settings!$A$14:$A$17,D439)</x:f>
        <x:v>1.5</x:v>
      </x:c>
      <x:c r="H439" s="2" t="str">
        <x:v>No</x:v>
      </x:c>
      <x:c r="I439" s="2" t="str">
        <x:v>Completed the fictional selection.</x:v>
      </x:c>
      <x:c r="J439" s="2" t="str">
        <x:v>Day 29!A22:H22</x:v>
      </x:c>
    </x:row>
    <x:row r="440" ht="23" customHeight="1">
      <x:c r="A440" s="7" t="n">
        <x:v>46232.5</x:v>
      </x:c>
      <x:c r="B440" s="2" t="str">
        <x:v>3:35 PM</x:v>
      </x:c>
      <x:c r="C440" s="2" t="str">
        <x:v>FAKE-29-014</x:v>
      </x:c>
      <x:c r="D440" s="2" t="str">
        <x:f>Settings!$A$14</x:f>
        <x:v>Core Package</x:v>
      </x:c>
      <x:c r="E440" s="2" t="str">
        <x:v>Completed</x:v>
      </x:c>
      <x:c r="F440" s="11" t="n">
        <x:v>1</x:v>
      </x:c>
      <x:c r="G440" s="12" t="n">
        <x:f>F440*SUMIFS(Settings!$C$14:$C$17,Settings!$A$14:$A$17,D440)</x:f>
        <x:v>1</x:v>
      </x:c>
      <x:c r="H440" s="2" t="str">
        <x:v>No</x:v>
      </x:c>
      <x:c r="I440" s="2" t="str">
        <x:v>Completed the fictional selection.</x:v>
      </x:c>
      <x:c r="J440" s="2" t="str">
        <x:v>Day 29!A23:H23</x:v>
      </x:c>
    </x:row>
    <x:row r="441" ht="23" customHeight="1">
      <x:c r="A441" s="7" t="n">
        <x:v>46232.5</x:v>
      </x:c>
      <x:c r="B441" s="2" t="str">
        <x:v>4:05 PM</x:v>
      </x:c>
      <x:c r="C441" s="2" t="str">
        <x:v>FAKE-29-015</x:v>
      </x:c>
      <x:c r="D441" s="2" t="str">
        <x:f>Settings!$A$17</x:f>
        <x:v>Optional Add-on</x:v>
      </x:c>
      <x:c r="E441" s="2" t="str">
        <x:v>Completed</x:v>
      </x:c>
      <x:c r="F441" s="11" t="n">
        <x:v>1</x:v>
      </x:c>
      <x:c r="G441" s="12" t="n">
        <x:f>F441*SUMIFS(Settings!$C$14:$C$17,Settings!$A$14:$A$17,D441)</x:f>
        <x:v>0.5</x:v>
      </x:c>
      <x:c r="H441" s="2" t="str">
        <x:v>No</x:v>
      </x:c>
      <x:c r="I441" s="2" t="str">
        <x:v>Completed the fictional selection.</x:v>
      </x:c>
      <x:c r="J441" s="2" t="str">
        <x:v>Day 29!A24:H24</x:v>
      </x:c>
    </x:row>
    <x:row r="442" ht="23" customHeight="1">
      <x:c r="A442" s="7" t="n">
        <x:v>46232.5</x:v>
      </x:c>
      <x:c r="B442" s="2" t="str">
        <x:v>4:35 PM</x:v>
      </x:c>
      <x:c r="C442" s="2" t="str">
        <x:v>FAKE-29-016</x:v>
      </x:c>
      <x:c r="D442" s="2" t="str">
        <x:f>Settings!$A$16</x:f>
        <x:v>Premium Package</x:v>
      </x:c>
      <x:c r="E442" s="2" t="str">
        <x:v>Follow-up</x:v>
      </x:c>
      <x:c r="F442" s="11" t="n">
        <x:v>0</x:v>
      </x:c>
      <x:c r="G442" s="12" t="n">
        <x:f>F442*SUMIFS(Settings!$C$14:$C$17,Settings!$A$14:$A$17,D442)</x:f>
        <x:v>0</x:v>
      </x:c>
      <x:c r="H442" s="2" t="str">
        <x:v>Yes</x:v>
      </x:c>
      <x:c r="I442" s="2" t="str">
        <x:v>Follow-up requested for a later date.</x:v>
      </x:c>
      <x:c r="J442" s="2" t="str">
        <x:v>Day 29!A25:H25</x:v>
      </x:c>
    </x:row>
    <x:row r="443" ht="23" customHeight="1">
      <x:c r="A443" s="7" t="n">
        <x:v>46232.5</x:v>
      </x:c>
      <x:c r="B443" s="2" t="str">
        <x:v>5:05 PM</x:v>
      </x:c>
      <x:c r="C443" s="2" t="str">
        <x:v>FAKE-29-017</x:v>
      </x:c>
      <x:c r="D443" s="2" t="str">
        <x:f>Settings!$A$15</x:f>
        <x:v>Plus Package</x:v>
      </x:c>
      <x:c r="E443" s="2" t="str">
        <x:v>No sale</x:v>
      </x:c>
      <x:c r="F443" s="11" t="n">
        <x:v>0</x:v>
      </x:c>
      <x:c r="G443" s="12" t="n">
        <x:f>F443*SUMIFS(Settings!$C$14:$C$17,Settings!$A$14:$A$17,D443)</x:f>
        <x:v>0</x:v>
      </x:c>
      <x:c r="H443" s="2" t="str">
        <x:v>No</x:v>
      </x:c>
      <x:c r="I443" s="2" t="str">
        <x:v>No selection made; no follow-up needed.</x:v>
      </x:c>
      <x:c r="J443" s="2" t="str">
        <x:v>Day 29!A26:H26</x:v>
      </x:c>
    </x:row>
    <x:row r="444" ht="23" customHeight="1">
      <x:c r="A444" s="7" t="n">
        <x:v>46233.5</x:v>
      </x:c>
      <x:c r="B444" s="2" t="str">
        <x:v>9:05 AM</x:v>
      </x:c>
      <x:c r="C444" s="2" t="str">
        <x:v>FAKE-30-001</x:v>
      </x:c>
      <x:c r="D444" s="2" t="str">
        <x:f>Settings!$A$16</x:f>
        <x:v>Premium Package</x:v>
      </x:c>
      <x:c r="E444" s="2" t="str">
        <x:v>Completed</x:v>
      </x:c>
      <x:c r="F444" s="11" t="n">
        <x:v>2</x:v>
      </x:c>
      <x:c r="G444" s="12" t="n">
        <x:f>F444*SUMIFS(Settings!$C$14:$C$17,Settings!$A$14:$A$17,D444)</x:f>
        <x:v>4</x:v>
      </x:c>
      <x:c r="H444" s="2" t="str">
        <x:v>No</x:v>
      </x:c>
      <x:c r="I444" s="2" t="str">
        <x:v>Completed the fictional selection.</x:v>
      </x:c>
      <x:c r="J444" s="2" t="str">
        <x:v>Day 30!A10:H10</x:v>
      </x:c>
    </x:row>
    <x:row r="445" ht="23" customHeight="1">
      <x:c r="A445" s="7" t="n">
        <x:v>46233.5</x:v>
      </x:c>
      <x:c r="B445" s="2" t="str">
        <x:v>9:35 AM</x:v>
      </x:c>
      <x:c r="C445" s="2" t="str">
        <x:v>FAKE-30-002</x:v>
      </x:c>
      <x:c r="D445" s="2" t="str">
        <x:f>Settings!$A$15</x:f>
        <x:v>Plus Package</x:v>
      </x:c>
      <x:c r="E445" s="2" t="str">
        <x:v>Completed</x:v>
      </x:c>
      <x:c r="F445" s="11" t="n">
        <x:v>1</x:v>
      </x:c>
      <x:c r="G445" s="12" t="n">
        <x:f>F445*SUMIFS(Settings!$C$14:$C$17,Settings!$A$14:$A$17,D445)</x:f>
        <x:v>1.5</x:v>
      </x:c>
      <x:c r="H445" s="2" t="str">
        <x:v>No</x:v>
      </x:c>
      <x:c r="I445" s="2" t="str">
        <x:v>Completed the fictional selection.</x:v>
      </x:c>
      <x:c r="J445" s="2" t="str">
        <x:v>Day 30!A11:H11</x:v>
      </x:c>
    </x:row>
    <x:row r="446" ht="23" customHeight="1">
      <x:c r="A446" s="7" t="n">
        <x:v>46233.5</x:v>
      </x:c>
      <x:c r="B446" s="2" t="str">
        <x:v>10:05 AM</x:v>
      </x:c>
      <x:c r="C446" s="2" t="str">
        <x:v>FAKE-30-003</x:v>
      </x:c>
      <x:c r="D446" s="2" t="str">
        <x:f>Settings!$A$14</x:f>
        <x:v>Core Package</x:v>
      </x:c>
      <x:c r="E446" s="2" t="str">
        <x:v>Completed</x:v>
      </x:c>
      <x:c r="F446" s="11" t="n">
        <x:v>1</x:v>
      </x:c>
      <x:c r="G446" s="12" t="n">
        <x:f>F446*SUMIFS(Settings!$C$14:$C$17,Settings!$A$14:$A$17,D446)</x:f>
        <x:v>1</x:v>
      </x:c>
      <x:c r="H446" s="2" t="str">
        <x:v>No</x:v>
      </x:c>
      <x:c r="I446" s="2" t="str">
        <x:v>Completed the fictional selection.</x:v>
      </x:c>
      <x:c r="J446" s="2" t="str">
        <x:v>Day 30!A12:H12</x:v>
      </x:c>
    </x:row>
    <x:row r="447" ht="23" customHeight="1">
      <x:c r="A447" s="7" t="n">
        <x:v>46233.5</x:v>
      </x:c>
      <x:c r="B447" s="2" t="str">
        <x:v>10:35 AM</x:v>
      </x:c>
      <x:c r="C447" s="2" t="str">
        <x:v>FAKE-30-004</x:v>
      </x:c>
      <x:c r="D447" s="2" t="str">
        <x:f>Settings!$A$17</x:f>
        <x:v>Optional Add-on</x:v>
      </x:c>
      <x:c r="E447" s="2" t="str">
        <x:v>Follow-up</x:v>
      </x:c>
      <x:c r="F447" s="11" t="n">
        <x:v>0</x:v>
      </x:c>
      <x:c r="G447" s="12" t="n">
        <x:f>F447*SUMIFS(Settings!$C$14:$C$17,Settings!$A$14:$A$17,D447)</x:f>
        <x:v>0</x:v>
      </x:c>
      <x:c r="H447" s="2" t="str">
        <x:v>Yes</x:v>
      </x:c>
      <x:c r="I447" s="2" t="str">
        <x:v>Follow-up requested for a later date.</x:v>
      </x:c>
      <x:c r="J447" s="2" t="str">
        <x:v>Day 30!A13:H13</x:v>
      </x:c>
    </x:row>
    <x:row r="448" ht="23" customHeight="1">
      <x:c r="A448" s="7" t="n">
        <x:v>46233.5</x:v>
      </x:c>
      <x:c r="B448" s="2" t="str">
        <x:v>11:05 AM</x:v>
      </x:c>
      <x:c r="C448" s="2" t="str">
        <x:v>FAKE-30-005</x:v>
      </x:c>
      <x:c r="D448" s="2" t="str">
        <x:f>Settings!$A$16</x:f>
        <x:v>Premium Package</x:v>
      </x:c>
      <x:c r="E448" s="2" t="str">
        <x:v>No sale</x:v>
      </x:c>
      <x:c r="F448" s="11" t="n">
        <x:v>0</x:v>
      </x:c>
      <x:c r="G448" s="12" t="n">
        <x:f>F448*SUMIFS(Settings!$C$14:$C$17,Settings!$A$14:$A$17,D448)</x:f>
        <x:v>0</x:v>
      </x:c>
      <x:c r="H448" s="2" t="str">
        <x:v>No</x:v>
      </x:c>
      <x:c r="I448" s="2" t="str">
        <x:v>No selection made; no follow-up needed.</x:v>
      </x:c>
      <x:c r="J448" s="2" t="str">
        <x:v>Day 30!A14:H14</x:v>
      </x:c>
    </x:row>
    <x:row r="449" ht="23" customHeight="1">
      <x:c r="A449" s="7" t="n">
        <x:v>46233.5</x:v>
      </x:c>
      <x:c r="B449" s="2" t="str">
        <x:v>11:35 AM</x:v>
      </x:c>
      <x:c r="C449" s="2" t="str">
        <x:v>FAKE-30-006</x:v>
      </x:c>
      <x:c r="D449" s="2" t="str">
        <x:f>Settings!$A$15</x:f>
        <x:v>Plus Package</x:v>
      </x:c>
      <x:c r="E449" s="2" t="str">
        <x:v>Completed</x:v>
      </x:c>
      <x:c r="F449" s="11" t="n">
        <x:v>2</x:v>
      </x:c>
      <x:c r="G449" s="12" t="n">
        <x:f>F449*SUMIFS(Settings!$C$14:$C$17,Settings!$A$14:$A$17,D449)</x:f>
        <x:v>3</x:v>
      </x:c>
      <x:c r="H449" s="2" t="str">
        <x:v>No</x:v>
      </x:c>
      <x:c r="I449" s="2" t="str">
        <x:v>Completed the fictional selection.</x:v>
      </x:c>
      <x:c r="J449" s="2" t="str">
        <x:v>Day 30!A15:H15</x:v>
      </x:c>
    </x:row>
    <x:row r="450" ht="23" customHeight="1">
      <x:c r="A450" s="7" t="n">
        <x:v>46233.5</x:v>
      </x:c>
      <x:c r="B450" s="2" t="str">
        <x:v>12:05 PM</x:v>
      </x:c>
      <x:c r="C450" s="2" t="str">
        <x:v>FAKE-30-007</x:v>
      </x:c>
      <x:c r="D450" s="2" t="str">
        <x:f>Settings!$A$14</x:f>
        <x:v>Core Package</x:v>
      </x:c>
      <x:c r="E450" s="2" t="str">
        <x:v>Completed</x:v>
      </x:c>
      <x:c r="F450" s="11" t="n">
        <x:v>1</x:v>
      </x:c>
      <x:c r="G450" s="12" t="n">
        <x:f>F450*SUMIFS(Settings!$C$14:$C$17,Settings!$A$14:$A$17,D450)</x:f>
        <x:v>1</x:v>
      </x:c>
      <x:c r="H450" s="2" t="str">
        <x:v>No</x:v>
      </x:c>
      <x:c r="I450" s="2" t="str">
        <x:v>Completed the fictional selection.</x:v>
      </x:c>
      <x:c r="J450" s="2" t="str">
        <x:v>Day 30!A16:H16</x:v>
      </x:c>
    </x:row>
    <x:row r="451" ht="23" customHeight="1">
      <x:c r="A451" s="7" t="n">
        <x:v>46233.5</x:v>
      </x:c>
      <x:c r="B451" s="2" t="str">
        <x:v>12:35 PM</x:v>
      </x:c>
      <x:c r="C451" s="2" t="str">
        <x:v>FAKE-30-008</x:v>
      </x:c>
      <x:c r="D451" s="2" t="str">
        <x:f>Settings!$A$17</x:f>
        <x:v>Optional Add-on</x:v>
      </x:c>
      <x:c r="E451" s="2" t="str">
        <x:v>Completed</x:v>
      </x:c>
      <x:c r="F451" s="11" t="n">
        <x:v>1</x:v>
      </x:c>
      <x:c r="G451" s="12" t="n">
        <x:f>F451*SUMIFS(Settings!$C$14:$C$17,Settings!$A$14:$A$17,D451)</x:f>
        <x:v>0.5</x:v>
      </x:c>
      <x:c r="H451" s="2" t="str">
        <x:v>No</x:v>
      </x:c>
      <x:c r="I451" s="2" t="str">
        <x:v>Completed the fictional selection.</x:v>
      </x:c>
      <x:c r="J451" s="2" t="str">
        <x:v>Day 30!A17:H17</x:v>
      </x:c>
    </x:row>
    <x:row r="452" ht="23" customHeight="1">
      <x:c r="A452" s="7" t="n">
        <x:v>46233.5</x:v>
      </x:c>
      <x:c r="B452" s="2" t="str">
        <x:v>1:05 PM</x:v>
      </x:c>
      <x:c r="C452" s="2" t="str">
        <x:v>FAKE-30-009</x:v>
      </x:c>
      <x:c r="D452" s="2" t="str">
        <x:f>Settings!$A$16</x:f>
        <x:v>Premium Package</x:v>
      </x:c>
      <x:c r="E452" s="2" t="str">
        <x:v>Follow-up</x:v>
      </x:c>
      <x:c r="F452" s="11" t="n">
        <x:v>0</x:v>
      </x:c>
      <x:c r="G452" s="12" t="n">
        <x:f>F452*SUMIFS(Settings!$C$14:$C$17,Settings!$A$14:$A$17,D452)</x:f>
        <x:v>0</x:v>
      </x:c>
      <x:c r="H452" s="2" t="str">
        <x:v>Yes</x:v>
      </x:c>
      <x:c r="I452" s="2" t="str">
        <x:v>Follow-up requested for a later date.</x:v>
      </x:c>
      <x:c r="J452" s="2" t="str">
        <x:v>Day 30!A18:H18</x:v>
      </x:c>
    </x:row>
    <x:row r="453" ht="23" customHeight="1">
      <x:c r="A453" s="7" t="n">
        <x:v>46233.5</x:v>
      </x:c>
      <x:c r="B453" s="2" t="str">
        <x:v>1:35 PM</x:v>
      </x:c>
      <x:c r="C453" s="2" t="str">
        <x:v>FAKE-30-010</x:v>
      </x:c>
      <x:c r="D453" s="2" t="str">
        <x:f>Settings!$A$15</x:f>
        <x:v>Plus Package</x:v>
      </x:c>
      <x:c r="E453" s="2" t="str">
        <x:v>No sale</x:v>
      </x:c>
      <x:c r="F453" s="11" t="n">
        <x:v>0</x:v>
      </x:c>
      <x:c r="G453" s="12" t="n">
        <x:f>F453*SUMIFS(Settings!$C$14:$C$17,Settings!$A$14:$A$17,D453)</x:f>
        <x:v>0</x:v>
      </x:c>
      <x:c r="H453" s="2" t="str">
        <x:v>No</x:v>
      </x:c>
      <x:c r="I453" s="2" t="str">
        <x:v>No selection made; no follow-up needed.</x:v>
      </x:c>
      <x:c r="J453" s="2" t="str">
        <x:v>Day 30!A19:H19</x:v>
      </x:c>
    </x:row>
    <x:row r="454" ht="23" customHeight="1">
      <x:c r="A454" s="7" t="n">
        <x:v>46233.5</x:v>
      </x:c>
      <x:c r="B454" s="2" t="str">
        <x:v>2:05 PM</x:v>
      </x:c>
      <x:c r="C454" s="2" t="str">
        <x:v>FAKE-30-011</x:v>
      </x:c>
      <x:c r="D454" s="2" t="str">
        <x:f>Settings!$A$14</x:f>
        <x:v>Core Package</x:v>
      </x:c>
      <x:c r="E454" s="2" t="str">
        <x:v>Completed</x:v>
      </x:c>
      <x:c r="F454" s="11" t="n">
        <x:v>2</x:v>
      </x:c>
      <x:c r="G454" s="12" t="n">
        <x:f>F454*SUMIFS(Settings!$C$14:$C$17,Settings!$A$14:$A$17,D454)</x:f>
        <x:v>2</x:v>
      </x:c>
      <x:c r="H454" s="2" t="str">
        <x:v>No</x:v>
      </x:c>
      <x:c r="I454" s="2" t="str">
        <x:v>Completed the fictional selection.</x:v>
      </x:c>
      <x:c r="J454" s="2" t="str">
        <x:v>Day 30!A20:H20</x:v>
      </x:c>
    </x:row>
    <x:row r="455" ht="23" customHeight="1">
      <x:c r="A455" s="7" t="n">
        <x:v>46233.5</x:v>
      </x:c>
      <x:c r="B455" s="2" t="str">
        <x:v>2:35 PM</x:v>
      </x:c>
      <x:c r="C455" s="2" t="str">
        <x:v>FAKE-30-012</x:v>
      </x:c>
      <x:c r="D455" s="2" t="str">
        <x:f>Settings!$A$17</x:f>
        <x:v>Optional Add-on</x:v>
      </x:c>
      <x:c r="E455" s="2" t="str">
        <x:v>Completed</x:v>
      </x:c>
      <x:c r="F455" s="11" t="n">
        <x:v>1</x:v>
      </x:c>
      <x:c r="G455" s="12" t="n">
        <x:f>F455*SUMIFS(Settings!$C$14:$C$17,Settings!$A$14:$A$17,D455)</x:f>
        <x:v>0.5</x:v>
      </x:c>
      <x:c r="H455" s="2" t="str">
        <x:v>No</x:v>
      </x:c>
      <x:c r="I455" s="2" t="str">
        <x:v>Completed the fictional selection.</x:v>
      </x:c>
      <x:c r="J455" s="2" t="str">
        <x:v>Day 30!A21:H21</x:v>
      </x:c>
    </x:row>
    <x:row r="456" ht="23" customHeight="1">
      <x:c r="A456" s="7" t="n">
        <x:v>46233.5</x:v>
      </x:c>
      <x:c r="B456" s="2" t="str">
        <x:v>3:05 PM</x:v>
      </x:c>
      <x:c r="C456" s="2" t="str">
        <x:v>FAKE-30-013</x:v>
      </x:c>
      <x:c r="D456" s="2" t="str">
        <x:f>Settings!$A$16</x:f>
        <x:v>Premium Package</x:v>
      </x:c>
      <x:c r="E456" s="2" t="str">
        <x:v>Completed</x:v>
      </x:c>
      <x:c r="F456" s="11" t="n">
        <x:v>1</x:v>
      </x:c>
      <x:c r="G456" s="12" t="n">
        <x:f>F456*SUMIFS(Settings!$C$14:$C$17,Settings!$A$14:$A$17,D456)</x:f>
        <x:v>2</x:v>
      </x:c>
      <x:c r="H456" s="2" t="str">
        <x:v>No</x:v>
      </x:c>
      <x:c r="I456" s="2" t="str">
        <x:v>Completed the fictional selection.</x:v>
      </x:c>
      <x:c r="J456" s="2" t="str">
        <x:v>Day 30!A22:H22</x:v>
      </x:c>
    </x:row>
    <x:row r="457" ht="23" customHeight="1">
      <x:c r="A457" s="7" t="n">
        <x:v>46233.5</x:v>
      </x:c>
      <x:c r="B457" s="2" t="str">
        <x:v>3:35 PM</x:v>
      </x:c>
      <x:c r="C457" s="2" t="str">
        <x:v>FAKE-30-014</x:v>
      </x:c>
      <x:c r="D457" s="2" t="str">
        <x:f>Settings!$A$15</x:f>
        <x:v>Plus Package</x:v>
      </x:c>
      <x:c r="E457" s="2" t="str">
        <x:v>Follow-up</x:v>
      </x:c>
      <x:c r="F457" s="11" t="n">
        <x:v>0</x:v>
      </x:c>
      <x:c r="G457" s="12" t="n">
        <x:f>F457*SUMIFS(Settings!$C$14:$C$17,Settings!$A$14:$A$17,D457)</x:f>
        <x:v>0</x:v>
      </x:c>
      <x:c r="H457" s="2" t="str">
        <x:v>Yes</x:v>
      </x:c>
      <x:c r="I457" s="2" t="str">
        <x:v>Follow-up requested for a later date.</x:v>
      </x:c>
      <x:c r="J457" s="2" t="str">
        <x:v>Day 30!A23:H23</x:v>
      </x:c>
    </x:row>
    <x:row r="458" ht="23" customHeight="1">
      <x:c r="A458" s="7" t="n">
        <x:v>46233.5</x:v>
      </x:c>
      <x:c r="B458" s="2" t="str">
        <x:v>4:05 PM</x:v>
      </x:c>
      <x:c r="C458" s="2" t="str">
        <x:v>FAKE-30-015</x:v>
      </x:c>
      <x:c r="D458" s="2" t="str">
        <x:f>Settings!$A$14</x:f>
        <x:v>Core Package</x:v>
      </x:c>
      <x:c r="E458" s="2" t="str">
        <x:v>No sale</x:v>
      </x:c>
      <x:c r="F458" s="11" t="n">
        <x:v>0</x:v>
      </x:c>
      <x:c r="G458" s="12" t="n">
        <x:f>F458*SUMIFS(Settings!$C$14:$C$17,Settings!$A$14:$A$17,D458)</x:f>
        <x:v>0</x:v>
      </x:c>
      <x:c r="H458" s="2" t="str">
        <x:v>No</x:v>
      </x:c>
      <x:c r="I458" s="2" t="str">
        <x:v>No selection made; no follow-up needed.</x:v>
      </x:c>
      <x:c r="J458" s="2" t="str">
        <x:v>Day 30!A24:H24</x:v>
      </x:c>
    </x:row>
    <x:row r="459" ht="23" customHeight="1">
      <x:c r="A459" s="7" t="n">
        <x:v>46234.5</x:v>
      </x:c>
      <x:c r="B459" s="2" t="str">
        <x:v>9:05 AM</x:v>
      </x:c>
      <x:c r="C459" s="2" t="str">
        <x:v>FAKE-31-001</x:v>
      </x:c>
      <x:c r="D459" s="2" t="str">
        <x:f>Settings!$A$17</x:f>
        <x:v>Optional Add-on</x:v>
      </x:c>
      <x:c r="E459" s="2" t="str">
        <x:v>Completed</x:v>
      </x:c>
      <x:c r="F459" s="11" t="n">
        <x:v>1</x:v>
      </x:c>
      <x:c r="G459" s="12" t="n">
        <x:f>F459*SUMIFS(Settings!$C$14:$C$17,Settings!$A$14:$A$17,D459)</x:f>
        <x:v>0.5</x:v>
      </x:c>
      <x:c r="H459" s="2" t="str">
        <x:v>No</x:v>
      </x:c>
      <x:c r="I459" s="2" t="str">
        <x:v>Completed the fictional selection.</x:v>
      </x:c>
      <x:c r="J459" s="2" t="str">
        <x:v>Day 31!A10:H10</x:v>
      </x:c>
    </x:row>
    <x:row r="460" ht="23" customHeight="1">
      <x:c r="A460" s="7" t="n">
        <x:v>46234.5</x:v>
      </x:c>
      <x:c r="B460" s="2" t="str">
        <x:v>9:35 AM</x:v>
      </x:c>
      <x:c r="C460" s="2" t="str">
        <x:v>FAKE-31-002</x:v>
      </x:c>
      <x:c r="D460" s="2" t="str">
        <x:f>Settings!$A$16</x:f>
        <x:v>Premium Package</x:v>
      </x:c>
      <x:c r="E460" s="2" t="str">
        <x:v>Completed</x:v>
      </x:c>
      <x:c r="F460" s="11" t="n">
        <x:v>1</x:v>
      </x:c>
      <x:c r="G460" s="12" t="n">
        <x:f>F460*SUMIFS(Settings!$C$14:$C$17,Settings!$A$14:$A$17,D460)</x:f>
        <x:v>2</x:v>
      </x:c>
      <x:c r="H460" s="2" t="str">
        <x:v>No</x:v>
      </x:c>
      <x:c r="I460" s="2" t="str">
        <x:v>Completed the fictional selection.</x:v>
      </x:c>
      <x:c r="J460" s="2" t="str">
        <x:v>Day 31!A11:H11</x:v>
      </x:c>
    </x:row>
    <x:row r="461" ht="23" customHeight="1">
      <x:c r="A461" s="7" t="n">
        <x:v>46234.5</x:v>
      </x:c>
      <x:c r="B461" s="2" t="str">
        <x:v>10:05 AM</x:v>
      </x:c>
      <x:c r="C461" s="2" t="str">
        <x:v>FAKE-31-003</x:v>
      </x:c>
      <x:c r="D461" s="2" t="str">
        <x:f>Settings!$A$15</x:f>
        <x:v>Plus Package</x:v>
      </x:c>
      <x:c r="E461" s="2" t="str">
        <x:v>Follow-up</x:v>
      </x:c>
      <x:c r="F461" s="11" t="n">
        <x:v>0</x:v>
      </x:c>
      <x:c r="G461" s="12" t="n">
        <x:f>F461*SUMIFS(Settings!$C$14:$C$17,Settings!$A$14:$A$17,D461)</x:f>
        <x:v>0</x:v>
      </x:c>
      <x:c r="H461" s="2" t="str">
        <x:v>Yes</x:v>
      </x:c>
      <x:c r="I461" s="2" t="str">
        <x:v>Follow-up requested for a later date.</x:v>
      </x:c>
      <x:c r="J461" s="2" t="str">
        <x:v>Day 31!A12:H12</x:v>
      </x:c>
    </x:row>
    <x:row r="462" ht="23" customHeight="1">
      <x:c r="A462" s="7" t="n">
        <x:v>46234.5</x:v>
      </x:c>
      <x:c r="B462" s="2" t="str">
        <x:v>10:35 AM</x:v>
      </x:c>
      <x:c r="C462" s="2" t="str">
        <x:v>FAKE-31-004</x:v>
      </x:c>
      <x:c r="D462" s="2" t="str">
        <x:f>Settings!$A$14</x:f>
        <x:v>Core Package</x:v>
      </x:c>
      <x:c r="E462" s="2" t="str">
        <x:v>No sale</x:v>
      </x:c>
      <x:c r="F462" s="11" t="n">
        <x:v>0</x:v>
      </x:c>
      <x:c r="G462" s="12" t="n">
        <x:f>F462*SUMIFS(Settings!$C$14:$C$17,Settings!$A$14:$A$17,D462)</x:f>
        <x:v>0</x:v>
      </x:c>
      <x:c r="H462" s="2" t="str">
        <x:v>No</x:v>
      </x:c>
      <x:c r="I462" s="2" t="str">
        <x:v>No selection made; no follow-up needed.</x:v>
      </x:c>
      <x:c r="J462" s="2" t="str">
        <x:v>Day 31!A13:H13</x:v>
      </x:c>
    </x:row>
    <x:row r="463" ht="23" customHeight="1">
      <x:c r="A463" s="7" t="n">
        <x:v>46234.5</x:v>
      </x:c>
      <x:c r="B463" s="2" t="str">
        <x:v>11:05 AM</x:v>
      </x:c>
      <x:c r="C463" s="2" t="str">
        <x:v>FAKE-31-005</x:v>
      </x:c>
      <x:c r="D463" s="2" t="str">
        <x:f>Settings!$A$17</x:f>
        <x:v>Optional Add-on</x:v>
      </x:c>
      <x:c r="E463" s="2" t="str">
        <x:v>Completed</x:v>
      </x:c>
      <x:c r="F463" s="11" t="n">
        <x:v>1</x:v>
      </x:c>
      <x:c r="G463" s="12" t="n">
        <x:f>F463*SUMIFS(Settings!$C$14:$C$17,Settings!$A$14:$A$17,D463)</x:f>
        <x:v>0.5</x:v>
      </x:c>
      <x:c r="H463" s="2" t="str">
        <x:v>No</x:v>
      </x:c>
      <x:c r="I463" s="2" t="str">
        <x:v>Completed the fictional selection.</x:v>
      </x:c>
      <x:c r="J463" s="2" t="str">
        <x:v>Day 31!A14:H14</x:v>
      </x:c>
    </x:row>
    <x:row r="464" ht="23" customHeight="1">
      <x:c r="A464" s="7" t="n">
        <x:v>46234.5</x:v>
      </x:c>
      <x:c r="B464" s="2" t="str">
        <x:v>11:35 AM</x:v>
      </x:c>
      <x:c r="C464" s="2" t="str">
        <x:v>FAKE-31-006</x:v>
      </x:c>
      <x:c r="D464" s="2" t="str">
        <x:f>Settings!$A$16</x:f>
        <x:v>Premium Package</x:v>
      </x:c>
      <x:c r="E464" s="2" t="str">
        <x:v>Completed</x:v>
      </x:c>
      <x:c r="F464" s="11" t="n">
        <x:v>1</x:v>
      </x:c>
      <x:c r="G464" s="12" t="n">
        <x:f>F464*SUMIFS(Settings!$C$14:$C$17,Settings!$A$14:$A$17,D464)</x:f>
        <x:v>2</x:v>
      </x:c>
      <x:c r="H464" s="2" t="str">
        <x:v>No</x:v>
      </x:c>
      <x:c r="I464" s="2" t="str">
        <x:v>Completed the fictional selection.</x:v>
      </x:c>
      <x:c r="J464" s="2" t="str">
        <x:v>Day 31!A15:H15</x:v>
      </x:c>
    </x:row>
    <x:row r="465" ht="23" customHeight="1">
      <x:c r="A465" s="7" t="n">
        <x:v>46234.5</x:v>
      </x:c>
      <x:c r="B465" s="2" t="str">
        <x:v>12:05 PM</x:v>
      </x:c>
      <x:c r="C465" s="2" t="str">
        <x:v>FAKE-31-007</x:v>
      </x:c>
      <x:c r="D465" s="2" t="str">
        <x:f>Settings!$A$15</x:f>
        <x:v>Plus Package</x:v>
      </x:c>
      <x:c r="E465" s="2" t="str">
        <x:v>Completed</x:v>
      </x:c>
      <x:c r="F465" s="11" t="n">
        <x:v>1</x:v>
      </x:c>
      <x:c r="G465" s="12" t="n">
        <x:f>F465*SUMIFS(Settings!$C$14:$C$17,Settings!$A$14:$A$17,D465)</x:f>
        <x:v>1.5</x:v>
      </x:c>
      <x:c r="H465" s="2" t="str">
        <x:v>No</x:v>
      </x:c>
      <x:c r="I465" s="2" t="str">
        <x:v>Completed the fictional selection.</x:v>
      </x:c>
      <x:c r="J465" s="2" t="str">
        <x:v>Day 31!A16:H16</x:v>
      </x:c>
    </x:row>
    <x:row r="466" ht="23" customHeight="1">
      <x:c r="A466" s="7" t="n">
        <x:v>46234.5</x:v>
      </x:c>
      <x:c r="B466" s="2" t="str">
        <x:v>12:35 PM</x:v>
      </x:c>
      <x:c r="C466" s="2" t="str">
        <x:v>FAKE-31-008</x:v>
      </x:c>
      <x:c r="D466" s="2" t="str">
        <x:f>Settings!$A$14</x:f>
        <x:v>Core Package</x:v>
      </x:c>
      <x:c r="E466" s="2" t="str">
        <x:v>Follow-up</x:v>
      </x:c>
      <x:c r="F466" s="11" t="n">
        <x:v>0</x:v>
      </x:c>
      <x:c r="G466" s="12" t="n">
        <x:f>F466*SUMIFS(Settings!$C$14:$C$17,Settings!$A$14:$A$17,D466)</x:f>
        <x:v>0</x:v>
      </x:c>
      <x:c r="H466" s="2" t="str">
        <x:v>Yes</x:v>
      </x:c>
      <x:c r="I466" s="2" t="str">
        <x:v>Follow-up requested for a later date.</x:v>
      </x:c>
      <x:c r="J466" s="2" t="str">
        <x:v>Day 31!A17:H17</x:v>
      </x:c>
    </x:row>
    <x:row r="467" ht="23" customHeight="1">
      <x:c r="A467" s="7" t="n">
        <x:v>46234.5</x:v>
      </x:c>
      <x:c r="B467" s="2" t="str">
        <x:v>1:05 PM</x:v>
      </x:c>
      <x:c r="C467" s="2" t="str">
        <x:v>FAKE-31-009</x:v>
      </x:c>
      <x:c r="D467" s="2" t="str">
        <x:f>Settings!$A$17</x:f>
        <x:v>Optional Add-on</x:v>
      </x:c>
      <x:c r="E467" s="2" t="str">
        <x:v>No sale</x:v>
      </x:c>
      <x:c r="F467" s="11" t="n">
        <x:v>0</x:v>
      </x:c>
      <x:c r="G467" s="12" t="n">
        <x:f>F467*SUMIFS(Settings!$C$14:$C$17,Settings!$A$14:$A$17,D467)</x:f>
        <x:v>0</x:v>
      </x:c>
      <x:c r="H467" s="2" t="str">
        <x:v>No</x:v>
      </x:c>
      <x:c r="I467" s="2" t="str">
        <x:v>No selection made; no follow-up needed.</x:v>
      </x:c>
      <x:c r="J467" s="2" t="str">
        <x:v>Day 31!A18:H18</x:v>
      </x:c>
    </x:row>
    <x:row r="468" ht="23" customHeight="1">
      <x:c r="A468" s="7" t="n">
        <x:v>46234.5</x:v>
      </x:c>
      <x:c r="B468" s="2" t="str">
        <x:v>1:35 PM</x:v>
      </x:c>
      <x:c r="C468" s="2" t="str">
        <x:v>FAKE-31-010</x:v>
      </x:c>
      <x:c r="D468" s="2" t="str">
        <x:f>Settings!$A$16</x:f>
        <x:v>Premium Package</x:v>
      </x:c>
      <x:c r="E468" s="2" t="str">
        <x:v>Completed</x:v>
      </x:c>
      <x:c r="F468" s="11" t="n">
        <x:v>1</x:v>
      </x:c>
      <x:c r="G468" s="12" t="n">
        <x:f>F468*SUMIFS(Settings!$C$14:$C$17,Settings!$A$14:$A$17,D468)</x:f>
        <x:v>2</x:v>
      </x:c>
      <x:c r="H468" s="2" t="str">
        <x:v>No</x:v>
      </x:c>
      <x:c r="I468" s="2" t="str">
        <x:v>Completed the fictional selection.</x:v>
      </x:c>
      <x:c r="J468" s="2" t="str">
        <x:v>Day 31!A19:H19</x:v>
      </x:c>
    </x:row>
    <x:row r="469" ht="23" customHeight="1">
      <x:c r="A469" s="7" t="n">
        <x:v>46234.5</x:v>
      </x:c>
      <x:c r="B469" s="2" t="str">
        <x:v>2:05 PM</x:v>
      </x:c>
      <x:c r="C469" s="2" t="str">
        <x:v>FAKE-31-011</x:v>
      </x:c>
      <x:c r="D469" s="2" t="str">
        <x:f>Settings!$A$15</x:f>
        <x:v>Plus Package</x:v>
      </x:c>
      <x:c r="E469" s="2" t="str">
        <x:v>Completed</x:v>
      </x:c>
      <x:c r="F469" s="11" t="n">
        <x:v>1</x:v>
      </x:c>
      <x:c r="G469" s="12" t="n">
        <x:f>F469*SUMIFS(Settings!$C$14:$C$17,Settings!$A$14:$A$17,D469)</x:f>
        <x:v>1.5</x:v>
      </x:c>
      <x:c r="H469" s="2" t="str">
        <x:v>No</x:v>
      </x:c>
      <x:c r="I469" s="2" t="str">
        <x:v>Completed the fictional selection.</x:v>
      </x:c>
      <x:c r="J469" s="2" t="str">
        <x:v>Day 31!A20:H20</x:v>
      </x:c>
    </x:row>
    <x:row r="470" ht="23" customHeight="1">
      <x:c r="A470" s="7" t="n">
        <x:v>46234.5</x:v>
      </x:c>
      <x:c r="B470" s="2" t="str">
        <x:v>2:35 PM</x:v>
      </x:c>
      <x:c r="C470" s="2" t="str">
        <x:v>FAKE-31-012</x:v>
      </x:c>
      <x:c r="D470" s="2" t="str">
        <x:f>Settings!$A$14</x:f>
        <x:v>Core Package</x:v>
      </x:c>
      <x:c r="E470" s="2" t="str">
        <x:v>Completed</x:v>
      </x:c>
      <x:c r="F470" s="11" t="n">
        <x:v>1</x:v>
      </x:c>
      <x:c r="G470" s="12" t="n">
        <x:f>F470*SUMIFS(Settings!$C$14:$C$17,Settings!$A$14:$A$17,D470)</x:f>
        <x:v>1</x:v>
      </x:c>
      <x:c r="H470" s="2" t="str">
        <x:v>No</x:v>
      </x:c>
      <x:c r="I470" s="2" t="str">
        <x:v>Completed the fictional selection.</x:v>
      </x:c>
      <x:c r="J470" s="2" t="str">
        <x:v>Day 31!A21:H21</x:v>
      </x:c>
    </x:row>
    <x:row r="471" ht="23" customHeight="1">
      <x:c r="A471" s="7" t="n">
        <x:v>46234.5</x:v>
      </x:c>
      <x:c r="B471" s="2" t="str">
        <x:v>3:05 PM</x:v>
      </x:c>
      <x:c r="C471" s="2" t="str">
        <x:v>FAKE-31-013</x:v>
      </x:c>
      <x:c r="D471" s="2" t="str">
        <x:f>Settings!$A$17</x:f>
        <x:v>Optional Add-on</x:v>
      </x:c>
      <x:c r="E471" s="2" t="str">
        <x:v>Follow-up</x:v>
      </x:c>
      <x:c r="F471" s="11" t="n">
        <x:v>0</x:v>
      </x:c>
      <x:c r="G471" s="12" t="n">
        <x:f>F471*SUMIFS(Settings!$C$14:$C$17,Settings!$A$14:$A$17,D471)</x:f>
        <x:v>0</x:v>
      </x:c>
      <x:c r="H471" s="2" t="str">
        <x:v>Yes</x:v>
      </x:c>
      <x:c r="I471" s="2" t="str">
        <x:v>Follow-up requested for a later date.</x:v>
      </x:c>
      <x:c r="J471" s="2" t="str">
        <x:v>Day 31!A22:H22</x:v>
      </x:c>
    </x:row>
  </x:sheetData>
  <x:dataValidations count="4">
    <x:dataValidation type="list" sqref="D7:D471">
      <x:formula1>Settings!$A$14:$A$17</x:formula1>
    </x:dataValidation>
    <x:dataValidation type="list" sqref="E7:E471">
      <x:formula1>"Completed,Follow-up,No sale"</x:formula1>
    </x:dataValidation>
    <x:dataValidation type="list" sqref="H7:H471">
      <x:formula1>"Yes,No"</x:formula1>
    </x:dataValidation>
    <x:dataValidation type="whole" operator="between" sqref="F7:F471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c0c910dbfaf4b7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3" hidden="0" customWidth="1"/>
    <x:col min="3" max="3" width="23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23" customHeight="1">
      <x:c r="A2" s="3" t="str">
        <x:v>Fictional reporting settings</x:v>
      </x:c>
      <x:c r="B2" s="2"/>
      <x:c r="C2" s="2"/>
      <x:c r="D2" s="2"/>
      <x:c r="E2" s="2"/>
      <x:c r="F2" s="2"/>
    </x:row>
    <x:row r="3" ht="23" customHeight="1">
      <x:c r="A3" s="2"/>
      <x:c r="B3" s="2"/>
      <x:c r="C3" s="2"/>
      <x:c r="D3" s="2"/>
      <x:c r="E3" s="2"/>
      <x:c r="F3" s="2"/>
    </x:row>
    <x:row r="4" ht="30" customHeight="1">
      <x:c r="A4" s="6" t="str">
        <x:v>Setting</x:v>
      </x:c>
      <x:c r="B4" s="6" t="str">
        <x:v>Value</x:v>
      </x:c>
      <x:c r="C4" s="2"/>
      <x:c r="D4" s="2"/>
      <x:c r="E4" s="2"/>
      <x:c r="F4" s="2"/>
    </x:row>
    <x:row r="5" ht="23" customHeight="1">
      <x:c r="A5" s="2" t="str">
        <x:v>Month start</x:v>
      </x:c>
      <x:c r="B5" s="8" t="n">
        <x:v>46204.5</x:v>
      </x:c>
      <x:c r="C5" s="2"/>
      <x:c r="D5" s="2"/>
      <x:c r="E5" s="2"/>
      <x:c r="F5" s="2"/>
    </x:row>
    <x:row r="6" ht="23" customHeight="1">
      <x:c r="A6" s="2" t="str">
        <x:v>Reporting days</x:v>
      </x:c>
      <x:c r="B6" s="9" t="n">
        <x:v>31</x:v>
      </x:c>
      <x:c r="C6" s="2"/>
      <x:c r="D6" s="2"/>
      <x:c r="E6" s="2"/>
      <x:c r="F6" s="2"/>
    </x:row>
    <x:row r="7" ht="23" customHeight="1">
      <x:c r="A7" s="2" t="str">
        <x:v>Completed units per day</x:v>
      </x:c>
      <x:c r="B7" s="9" t="n">
        <x:v>11</x:v>
      </x:c>
      <x:c r="C7" s="2"/>
      <x:c r="D7" s="2"/>
      <x:c r="E7" s="2"/>
      <x:c r="F7" s="2"/>
    </x:row>
    <x:row r="8" ht="23" customHeight="1">
      <x:c r="A8" s="2" t="str">
        <x:v>Activities per day</x:v>
      </x:c>
      <x:c r="B8" s="9" t="n">
        <x:v>15</x:v>
      </x:c>
      <x:c r="C8" s="2"/>
      <x:c r="D8" s="2"/>
      <x:c r="E8" s="2"/>
      <x:c r="F8" s="2"/>
    </x:row>
    <x:row r="9" ht="23" customHeight="1">
      <x:c r="A9" s="2" t="str">
        <x:v>Monthly points goal</x:v>
      </x:c>
      <x:c r="B9" s="9" t="n">
        <x:v>400</x:v>
      </x:c>
      <x:c r="C9" s="2"/>
      <x:c r="D9" s="2"/>
      <x:c r="E9" s="2"/>
      <x:c r="F9" s="2"/>
    </x:row>
    <x:row r="10" ht="23" customHeight="1">
      <x:c r="A10" s="2" t="str">
        <x:v>Days meeting daily goal</x:v>
      </x:c>
      <x:c r="B10" s="9" t="n">
        <x:v>18</x:v>
      </x:c>
      <x:c r="C10" s="2"/>
      <x:c r="D10" s="2"/>
      <x:c r="E10" s="2"/>
      <x:c r="F10" s="2"/>
    </x:row>
    <x:row r="11" ht="23" customHeight="1">
      <x:c r="A11" s="2"/>
      <x:c r="B11" s="2"/>
      <x:c r="C11" s="2"/>
      <x:c r="D11" s="2"/>
      <x:c r="E11" s="2"/>
      <x:c r="F11" s="2"/>
    </x:row>
    <x:row r="12" ht="23" customHeight="1">
      <x:c r="A12" s="2"/>
      <x:c r="B12" s="2"/>
      <x:c r="C12" s="2"/>
      <x:c r="D12" s="2"/>
      <x:c r="E12" s="2"/>
      <x:c r="F12" s="2"/>
    </x:row>
    <x:row r="13" ht="30" customHeight="1">
      <x:c r="A13" s="6" t="str">
        <x:v>Product</x:v>
      </x:c>
      <x:c r="B13" s="6" t="str">
        <x:v>Monthly units goal</x:v>
      </x:c>
      <x:c r="C13" s="6" t="str">
        <x:v>Points per unit</x:v>
      </x:c>
      <x:c r="D13" s="2"/>
      <x:c r="E13" s="2"/>
      <x:c r="F13" s="2"/>
    </x:row>
    <x:row r="14" ht="23" customHeight="1">
      <x:c r="A14" s="9" t="str">
        <x:v>Core Package</x:v>
      </x:c>
      <x:c r="B14" s="9" t="n">
        <x:v>82</x:v>
      </x:c>
      <x:c r="C14" s="10" t="n">
        <x:v>1</x:v>
      </x:c>
      <x:c r="D14" s="2"/>
      <x:c r="E14" s="2"/>
      <x:c r="F14" s="2"/>
    </x:row>
    <x:row r="15" ht="23" customHeight="1">
      <x:c r="A15" s="9" t="str">
        <x:v>Plus Package</x:v>
      </x:c>
      <x:c r="B15" s="9" t="n">
        <x:v>78</x:v>
      </x:c>
      <x:c r="C15" s="10" t="n">
        <x:v>1.5</x:v>
      </x:c>
      <x:c r="D15" s="2"/>
      <x:c r="E15" s="2"/>
      <x:c r="F15" s="2"/>
    </x:row>
    <x:row r="16" ht="23" customHeight="1">
      <x:c r="A16" s="9" t="str">
        <x:v>Premium Package</x:v>
      </x:c>
      <x:c r="B16" s="9" t="n">
        <x:v>76</x:v>
      </x:c>
      <x:c r="C16" s="10" t="n">
        <x:v>2</x:v>
      </x:c>
      <x:c r="D16" s="2"/>
      <x:c r="E16" s="2"/>
      <x:c r="F16" s="2"/>
    </x:row>
    <x:row r="17" ht="23" customHeight="1">
      <x:c r="A17" s="9" t="str">
        <x:v>Optional Add-on</x:v>
      </x:c>
      <x:c r="B17" s="9" t="n">
        <x:v>74</x:v>
      </x:c>
      <x:c r="C17" s="10" t="n">
        <x:v>0.5</x:v>
      </x:c>
      <x:c r="D17" s="2"/>
      <x:c r="E17" s="2"/>
      <x:c r="F17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95" hidden="0" customWidth="1"/>
  </x:cols>
  <x:sheetData>
    <x:row r="1" ht="23" customHeight="1">
      <x:c r="A1" s="2"/>
      <x:c r="B1" s="2"/>
    </x:row>
    <x:row r="2" ht="23" customHeight="1">
      <x:c r="A2" s="3" t="str">
        <x:v>Using this portfolio revision</x:v>
      </x:c>
      <x:c r="B2" s="2"/>
    </x:row>
    <x:row r="3" ht="23" customHeight="1">
      <x:c r="A3" s="2"/>
      <x:c r="B3" s="2"/>
    </x:row>
    <x:row r="4" ht="23" customHeight="1">
      <x:c r="A4" s="2"/>
      <x:c r="B4" s="2"/>
    </x:row>
    <x:row r="5" ht="51" customHeight="1">
      <x:c r="A5" s="15" t="str">
        <x:v>Scope</x:v>
      </x:c>
      <x:c r="B5" s="16" t="str">
        <x:v>New portfolio revision dated September 11, 2026. All data is fictional. No workplace deployment or outcomes are claimed.</x:v>
      </x:c>
    </x:row>
    <x:row r="6" ht="51" customHeight="1">
      <x:c r="A6" s="15" t="str">
        <x:v>Source</x:v>
      </x:c>
      <x:c r="B6" s="16" t="str">
        <x:v>Fictional_Sales_Activity_Tracker.xlsx in the portfolio downloads. All 465 existing records and documented settings are preserved.</x:v>
      </x:c>
    </x:row>
    <x:row r="7" ht="51" customHeight="1">
      <x:c r="A7" s="15" t="str">
        <x:v>Original retained</x:v>
      </x:c>
      <x:c r="B7" s="16" t="str">
        <x:v>The original 31-day workbook remains a separate download. This version consolidates its daily records into one filterable Activity table.</x:v>
      </x:c>
    </x:row>
    <x:row r="8" ht="51" customHeight="1">
      <x:c r="A8" s="15" t="str">
        <x:v>Reporting period</x:v>
      </x:c>
      <x:c r="B8" s="16" t="str">
        <x:v>The summary retains the original 31-day reporting period. Dates are copied as recorded; changing Month start does not relabel source dates.</x:v>
      </x:c>
    </x:row>
    <x:row r="9" ht="51" customHeight="1">
      <x:c r="A9" s="15" t="str">
        <x:v>Reading goals</x:v>
      </x:c>
      <x:c r="B9" s="16" t="str">
        <x:v>Monthly product goals total 310 units. The separate daily target is 11 units, or 341 over 31 days. Confirm their intended relationship before interpreting attainment.</x:v>
      </x:c>
    </x:row>
    <x:row r="10" ht="51" customHeight="1">
      <x:c r="A10" s="15" t="str">
        <x:v>Editing records</x:v>
      </x:c>
      <x:c r="B10" s="16" t="str">
        <x:v>Filter Activity by Date, Product, Outcome, or Follow-up. Filtered rows remain included in Summary totals. Enter only fictional records.</x:v>
      </x:c>
    </x:row>
    <x:row r="11" ht="51" customHeight="1">
      <x:c r="A11" s="15" t="str">
        <x:v>Adding rows</x:v>
      </x:c>
      <x:c r="B11" s="16" t="str">
        <x:v>Insert a row inside Activities. Copy the previous table row into it, then replace all input cells and clear Original row for new fictional records. Keep the copied Points formula; check the dropdowns and Units validation.</x:v>
      </x:c>
    </x:row>
    <x:row r="12" ht="51" customHeight="1">
      <x:c r="A12" s="15" t="str">
        <x:v>Product labels</x:v>
      </x:c>
      <x:c r="B12" s="16" t="str">
        <x:v>Formula-linked product labels retain the original Settings links. Manually entered product text remains recorded. Renaming a product may require reviewing those manual entries.</x:v>
      </x:c>
    </x:row>
    <x:row r="13" ht="51" customHeight="1">
      <x:c r="A13" s="15" t="str">
        <x:v>Calculation rules</x:v>
      </x:c>
      <x:c r="B13" s="16" t="str">
        <x:v>Units and point rules match the original: all unit values are summed, and points equal units times the configured product rate. Existing non-Completed rows have zero units.</x:v>
      </x:c>
    </x:row>
    <x:row r="14" ht="51" customHeight="1">
      <x:c r="A14" s="15" t="str">
        <x:v>Controls and limits</x:v>
      </x:c>
      <x:c r="B14" s="16" t="str">
        <x:v>Dropdowns and unit validation are retained for current rows. Formulas are inspectable and unprotected. Validation is not a substitute for reviewing pasted or added records.</x:v>
      </x:c>
    </x:row>
    <x:row r="15" ht="51" customHeight="1">
      <x:c r="A15" s="15" t="str">
        <x:v>Revision choices</x:v>
      </x:c>
      <x:c r="B15" s="16" t="str">
        <x:v>Uses Excel table references and SUMIFS rather than Power Query or PivotTables. No new proficiency claim is implied.</x:v>
      </x:c>
    </x:row>
    <x:row r="16" ht="51" customHeight="1">
      <x:c r="A16" s="15" t="str">
        <x:v>Verification</x:v>
      </x:c>
      <x:c r="B16" s="16" t="str">
        <x:v>Baseline: 465 activities, 324 units and 402.5 points. Microsoft Excel checks cover added rows, formula copying, daily totals and changed goals/rates. Validation can be bypassed by pasting; review all new records.</x:v>
      </x:c>
    </x:row>
    <x:row r="17" ht="23" customHeight="1">
      <x:c r="A17" s="2"/>
      <x:c r="B17" s="2"/>
    </x:row>
    <x:row r="18" ht="23" customHeight="1">
      <x:c r="A18" s="2"/>
      <x:c r="B18" s="2"/>
    </x:row>
    <x:row r="19" ht="23" customHeight="1">
      <x:c r="A19" s="2"/>
      <x:c r="B19" s="2"/>
    </x:row>
    <x:row r="20" ht="23" customHeight="1">
      <x:c r="A20" s="2"/>
      <x:c r="B20" s="2"/>
    </x:row>
    <x:row r="21" ht="23" customHeight="1">
      <x:c r="A21" s="2"/>
      <x:c r="B21" s="2"/>
    </x:row>
    <x:row r="22" ht="23" customHeight="1">
      <x:c r="A22" s="2"/>
      <x:c r="B22" s="2"/>
    </x:row>
    <x:row r="23" ht="23" customHeight="1">
      <x:c r="A23" s="2"/>
      <x:c r="B23" s="2"/>
    </x:row>
    <x:row r="24" ht="23" customHeight="1">
      <x:c r="A24" s="2"/>
      <x:c r="B24" s="2"/>
    </x:row>
  </x:sheetData>
  <x:pageMargins left="0.7" right="0.7" top="0.75" bottom="0.75" header="0.3" footer="0.3"/>
</x:worksheet>
</file>