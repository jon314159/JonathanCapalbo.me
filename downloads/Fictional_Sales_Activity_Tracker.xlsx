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d6478b2f0a41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6c6735268394a6b"/>
    <x:sheet xmlns:r="http://schemas.openxmlformats.org/officeDocument/2006/relationships" name="Activity Log" sheetId="2" r:id="R5d92f636a8b44062"/>
    <x:sheet xmlns:r="http://schemas.openxmlformats.org/officeDocument/2006/relationships" name="Read Me" sheetId="3" r:id="R7aafb69f62604703"/>
  </x:sheets>
</x:workbook>
</file>

<file path=xl/comments1.xml><?xml version="1.0" encoding="utf-8"?>
<x:comments xmlns:x="http://schemas.openxmlformats.org/spreadsheetml/2006/main">
  <x:authors>
    <x:author>tc={8A4CF464-917D-494A-F5FF-CF0E53ABFCA3}</x:author>
  </x:authors>
  <x:commentList>
    <x:comment ref="A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This public demonstration workbook contains only fabricated records and intentionally omits company-specific fields.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m d, yyyy"/>
    <x:numFmt numFmtId="201" formatCode="#,##0"/>
    <x:numFmt numFmtId="202" formatCode="mmm d"/>
  </x:numFmts>
  <x:fonts count="14">
    <x:font>
      <x:sz val="11"/>
      <x:name val="Carlito"/>
    </x:font>
    <x:font>
      <x:b/>
      <x:sz val="22"/>
      <x:color rgb="FFFFFFFF"/>
      <x:name val="Carlito"/>
    </x:font>
    <x:font>
      <x:b/>
      <x:sz val="11"/>
      <x:color rgb="FF0B1F33"/>
      <x:name val="Carlito"/>
    </x:font>
    <x:font>
      <x:b/>
      <x:sz val="11"/>
      <x:color rgb="FFFFFFFF"/>
      <x:name val="Carlito"/>
    </x:font>
    <x:font>
      <x:sz val="10"/>
      <x:color rgb="FF0B1F33"/>
      <x:name val="Carlito"/>
    </x:font>
    <x:font>
      <x:b/>
      <x:sz val="9"/>
      <x:color rgb="FF0B1F33"/>
      <x:name val="Carlito"/>
    </x:font>
    <x:font>
      <x:b/>
      <x:sz val="10"/>
      <x:color rgb="FF5E6B76"/>
      <x:name val="Carlito"/>
    </x:font>
    <x:font>
      <x:b/>
      <x:sz val="25"/>
      <x:color rgb="FF315EEA"/>
      <x:name val="Carlito"/>
    </x:font>
    <x:font>
      <x:sz val="9"/>
      <x:color rgb="FF0B1F33"/>
      <x:name val="Carlito"/>
    </x:font>
    <x:font>
      <x:b/>
      <x:sz val="9"/>
      <x:color rgb="FFFFFFFF"/>
      <x:name val="Carlito"/>
    </x:font>
    <x:font>
      <x:b/>
      <x:sz val="11"/>
      <x:color rgb="FF315EEA"/>
      <x:name val="Carlito"/>
    </x:font>
    <x:font>
      <x:sz val="11"/>
      <x:color rgb="FF0B1F33"/>
      <x:name val="Carlito"/>
    </x:font>
    <x:font>
      <x:b/>
      <x:sz val="11"/>
      <x:color rgb="FF147B6C"/>
      <x:name val="Carlito"/>
    </x:font>
    <x:font>
      <x:b/>
      <x:sz val="11"/>
      <x:color rgb="FF7C4A0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CEF8E"/>
      </x:patternFill>
    </x:fill>
    <x:fill>
      <x:patternFill patternType="solid">
        <x:fgColor rgb="FF315EEA"/>
      </x:patternFill>
    </x:fill>
    <x:fill>
      <x:patternFill patternType="solid">
        <x:fgColor rgb="FFFFFFFF"/>
      </x:patternFill>
    </x:fill>
    <x:fill>
      <x:patternFill patternType="solid">
        <x:fgColor rgb="FFE9EDFA"/>
      </x:patternFill>
    </x:fill>
    <x:fill>
      <x:patternFill patternType="solid">
        <x:fgColor rgb="FFD9EEE9"/>
      </x:patternFill>
    </x:fill>
    <x:fill>
      <x:patternFill patternType="solid">
        <x:fgColor rgb="FFFFF4D6"/>
      </x:patternFill>
    </x:fill>
    <x:fill>
      <x:patternFill patternType="solid">
        <x:fgColor rgb="FF17354D"/>
      </x:patternFill>
    </x:fill>
    <x:fill>
      <x:patternFill patternType="solid">
        <x:fgColor rgb="FFFBFAF6"/>
      </x:patternFill>
    </x:fill>
  </x:fills>
  <x:borders count="24">
    <x:border/>
    <x:border>
      <x:right style="thin">
        <x:color rgb="FF6F8EED"/>
      </x:right>
    </x:border>
    <x:border>
      <x:left style="thin">
        <x:color rgb="FF6F8EED"/>
      </x:left>
      <x:right style="thin">
        <x:color rgb="FF6F8EED"/>
      </x:right>
    </x:border>
    <x:border>
      <x:left style="thin">
        <x:color rgb="FF6F8EED"/>
      </x:left>
    </x:border>
    <x:border>
      <x:bottom style="thin">
        <x:color rgb="FFE6E7E3"/>
      </x:bottom>
    </x:border>
    <x:border>
      <x:top style="thin">
        <x:color rgb="FFE6E7E3"/>
      </x:top>
      <x:bottom style="thin">
        <x:color rgb="FFE6E7E3"/>
      </x:bottom>
    </x:border>
    <x:border>
      <x:top style="thin">
        <x:color rgb="FFE6E7E3"/>
      </x:top>
    </x:border>
    <x:border>
      <x:left style="thin">
        <x:color rgb="FFD8D8D1"/>
      </x:left>
      <x:top style="thin">
        <x:color rgb="FFD8D8D1"/>
      </x:top>
      <x:bottom style="thin">
        <x:color rgb="FFD8D8D1"/>
      </x:bottom>
    </x:border>
    <x:border>
      <x:top style="thin">
        <x:color rgb="FFD8D8D1"/>
      </x:top>
      <x:bottom style="thin">
        <x:color rgb="FFD8D8D1"/>
      </x:bottom>
    </x:border>
    <x:border>
      <x:right style="thin">
        <x:color rgb="FFD8D8D1"/>
      </x:right>
      <x:top style="thin">
        <x:color rgb="FFD8D8D1"/>
      </x:top>
      <x:bottom style="thin">
        <x:color rgb="FFD8D8D1"/>
      </x:bottom>
    </x:border>
    <x:border>
      <x:left style="thin">
        <x:color rgb="FFD8D8D1"/>
      </x:left>
      <x:top style="thin">
        <x:color rgb="FFD8D8D1"/>
      </x:top>
    </x:border>
    <x:border>
      <x:top style="thin">
        <x:color rgb="FFD8D8D1"/>
      </x:top>
    </x:border>
    <x:border>
      <x:right style="thin">
        <x:color rgb="FFD8D8D1"/>
      </x:right>
      <x:top style="thin">
        <x:color rgb="FFD8D8D1"/>
      </x:top>
    </x:border>
    <x:border>
      <x:left style="thin">
        <x:color rgb="FFD8D8D1"/>
      </x:left>
    </x:border>
    <x:border>
      <x:right style="thin">
        <x:color rgb="FFD8D8D1"/>
      </x:right>
    </x:border>
    <x:border>
      <x:left style="thin">
        <x:color rgb="FFD8D8D1"/>
      </x:left>
      <x:bottom style="thin">
        <x:color rgb="FFD8D8D1"/>
      </x:bottom>
    </x:border>
    <x:border>
      <x:bottom style="thin">
        <x:color rgb="FFD8D8D1"/>
      </x:bottom>
    </x:border>
    <x:border>
      <x:right style="thin">
        <x:color rgb="FFD8D8D1"/>
      </x:right>
      <x:bottom style="thin">
        <x:color rgb="FFD8D8D1"/>
      </x:bottom>
    </x:border>
    <x:border>
      <x:left style="thin">
        <x:color rgb="FFD8D8D1"/>
      </x:left>
      <x:right style="thin">
        <x:color rgb="FFD8D8D1"/>
      </x:right>
      <x:bottom style="thin">
        <x:color rgb="FFD8D8D1"/>
      </x:bottom>
    </x:border>
    <x:border>
      <x:left style="thin">
        <x:color rgb="FFD8D8D1"/>
      </x:left>
      <x:right style="thin">
        <x:color rgb="FFD8D8D1"/>
      </x:right>
      <x:top style="thin">
        <x:color rgb="FFD8D8D1"/>
      </x:top>
      <x:bottom style="thin">
        <x:color rgb="FFD8D8D1"/>
      </x:bottom>
    </x:border>
    <x:border>
      <x:left style="thin">
        <x:color rgb="FFD8D8D1"/>
      </x:left>
      <x:right style="thin">
        <x:color rgb="FFD8D8D1"/>
      </x:right>
      <x:top style="thin">
        <x:color rgb="FFD8D8D1"/>
      </x:top>
    </x:border>
    <x:border>
      <x:right style="thin">
        <x:color rgb="FF6F8EED"/>
      </x:right>
      <x:bottom style="thin">
        <x:color rgb="FFD8D8D1"/>
      </x:bottom>
    </x:border>
    <x:border>
      <x:left style="thin">
        <x:color rgb="FF6F8EED"/>
      </x:left>
      <x:right style="thin">
        <x:color rgb="FF6F8EED"/>
      </x:right>
      <x:bottom style="thin">
        <x:color rgb="FFD8D8D1"/>
      </x:bottom>
    </x:border>
    <x:border>
      <x:left style="thin">
        <x:color rgb="FF6F8EED"/>
      </x:left>
      <x:right style="thin">
        <x:color rgb="FFD8D8D1"/>
      </x:right>
      <x:bottom style="thin">
        <x:color rgb="FFD8D8D1"/>
      </x:bottom>
    </x:border>
  </x:borders>
  <x:cellStyleXfs count="1">
    <x:xf numFmtId="0" fontId="0" fillId="0" borderId="0"/>
  </x:cellStyleXfs>
  <x:cellXfs count="3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4" xfId="0" applyNumberFormat="1" applyFont="1" applyFill="1" applyBorder="1"/>
    <x:xf numFmtId="0" fontId="4" fillId="0" borderId="4" xfId="0" applyNumberFormat="1" applyFont="1" applyFill="1" applyBorder="1"/>
    <x:xf numFmtId="200" fontId="4" fillId="0" borderId="5" xfId="0" applyNumberFormat="1" applyFont="1" applyFill="1" applyBorder="1"/>
    <x:xf numFmtId="0" fontId="4" fillId="0" borderId="5" xfId="0" applyNumberFormat="1" applyFont="1" applyFill="1" applyBorder="1"/>
    <x:xf numFmtId="200" fontId="4" fillId="0" borderId="6" xfId="0" applyNumberFormat="1" applyFont="1" applyFill="1" applyBorder="1"/>
    <x:xf numFmtId="0" fontId="4" fillId="0" borderId="6" xfId="0" applyNumberFormat="1" applyFont="1" applyFill="1" applyBorder="1"/>
    <x:xf numFmtId="200" fontId="4" fillId="0" borderId="4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9" xfId="0" applyNumberFormat="1" applyFont="1" applyFill="1" applyBorder="1"/>
    <x:xf numFmtId="0" fontId="6" fillId="5" borderId="7" xfId="0" applyNumberFormat="1" applyFont="1" applyFill="1" applyBorder="1" applyAlignment="1">
      <x:alignment horizontal="center"/>
    </x:xf>
    <x:xf numFmtId="0" fontId="6" fillId="5" borderId="8" xfId="0" applyNumberFormat="1" applyFont="1" applyFill="1" applyBorder="1" applyAlignment="1">
      <x:alignment horizontal="center"/>
    </x:xf>
    <x:xf numFmtId="0" fontId="6" fillId="5" borderId="9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6" fillId="5" borderId="8" xfId="0" applyNumberFormat="1" applyFont="1" applyFill="1" applyBorder="1" applyAlignment="1">
      <x:alignment horizontal="center" vertical="center"/>
    </x:xf>
    <x:xf numFmtId="0" fontId="6" fillId="5" borderId="9" xfId="0" applyNumberFormat="1" applyFont="1" applyFill="1" applyBorder="1" applyAlignment="1">
      <x:alignment horizontal="center" vertical="center"/>
    </x:xf>
    <x:xf numFmtId="0" fontId="7" fillId="5" borderId="0" xfId="0" applyNumberFormat="1" applyFont="1" applyFill="1" applyBorder="1"/>
    <x:xf numFmtId="0" fontId="7" fillId="5" borderId="10" xfId="0" applyNumberFormat="1" applyFont="1" applyFill="1" applyBorder="1"/>
    <x:xf numFmtId="0" fontId="7" fillId="5" borderId="11" xfId="0" applyNumberFormat="1" applyFont="1" applyFill="1" applyBorder="1"/>
    <x:xf numFmtId="0" fontId="7" fillId="5" borderId="12" xfId="0" applyNumberFormat="1" applyFont="1" applyFill="1" applyBorder="1"/>
    <x:xf numFmtId="0" fontId="7" fillId="5" borderId="13" xfId="0" applyNumberFormat="1" applyFont="1" applyFill="1" applyBorder="1"/>
    <x:xf numFmtId="0" fontId="7" fillId="5" borderId="14" xfId="0" applyNumberFormat="1" applyFont="1" applyFill="1" applyBorder="1"/>
    <x:xf numFmtId="0" fontId="7" fillId="5" borderId="15" xfId="0" applyNumberFormat="1" applyFont="1" applyFill="1" applyBorder="1"/>
    <x:xf numFmtId="0" fontId="7" fillId="5" borderId="16" xfId="0" applyNumberFormat="1" applyFont="1" applyFill="1" applyBorder="1"/>
    <x:xf numFmtId="0" fontId="7" fillId="5" borderId="17" xfId="0" applyNumberFormat="1" applyFont="1" applyFill="1" applyBorder="1"/>
    <x:xf numFmtId="201" fontId="7" fillId="5" borderId="10" xfId="0" applyNumberFormat="1" applyFont="1" applyFill="1" applyBorder="1"/>
    <x:xf numFmtId="201" fontId="7" fillId="5" borderId="11" xfId="0" applyNumberFormat="1" applyFont="1" applyFill="1" applyBorder="1"/>
    <x:xf numFmtId="201" fontId="7" fillId="5" borderId="12" xfId="0" applyNumberFormat="1" applyFont="1" applyFill="1" applyBorder="1"/>
    <x:xf numFmtId="201" fontId="7" fillId="5" borderId="13" xfId="0" applyNumberFormat="1" applyFont="1" applyFill="1" applyBorder="1"/>
    <x:xf numFmtId="201" fontId="7" fillId="5" borderId="0" xfId="0" applyNumberFormat="1" applyFont="1" applyFill="1" applyBorder="1"/>
    <x:xf numFmtId="201" fontId="7" fillId="5" borderId="14" xfId="0" applyNumberFormat="1" applyFont="1" applyFill="1" applyBorder="1"/>
    <x:xf numFmtId="201" fontId="7" fillId="5" borderId="15" xfId="0" applyNumberFormat="1" applyFont="1" applyFill="1" applyBorder="1"/>
    <x:xf numFmtId="201" fontId="7" fillId="5" borderId="16" xfId="0" applyNumberFormat="1" applyFont="1" applyFill="1" applyBorder="1"/>
    <x:xf numFmtId="201" fontId="7" fillId="5" borderId="17" xfId="0" applyNumberFormat="1" applyFont="1" applyFill="1" applyBorder="1"/>
    <x:xf numFmtId="201" fontId="7" fillId="5" borderId="10" xfId="0" applyNumberFormat="1" applyFont="1" applyFill="1" applyBorder="1" applyAlignment="1">
      <x:alignment horizontal="center"/>
    </x:xf>
    <x:xf numFmtId="201" fontId="7" fillId="5" borderId="11" xfId="0" applyNumberFormat="1" applyFont="1" applyFill="1" applyBorder="1" applyAlignment="1">
      <x:alignment horizontal="center"/>
    </x:xf>
    <x:xf numFmtId="201" fontId="7" fillId="5" borderId="12" xfId="0" applyNumberFormat="1" applyFont="1" applyFill="1" applyBorder="1" applyAlignment="1">
      <x:alignment horizontal="center"/>
    </x:xf>
    <x:xf numFmtId="201" fontId="7" fillId="5" borderId="13" xfId="0" applyNumberFormat="1" applyFont="1" applyFill="1" applyBorder="1" applyAlignment="1">
      <x:alignment horizontal="center"/>
    </x:xf>
    <x:xf numFmtId="201" fontId="7" fillId="5" borderId="0" xfId="0" applyNumberFormat="1" applyFont="1" applyFill="1" applyBorder="1" applyAlignment="1">
      <x:alignment horizontal="center"/>
    </x:xf>
    <x:xf numFmtId="201" fontId="7" fillId="5" borderId="14" xfId="0" applyNumberFormat="1" applyFont="1" applyFill="1" applyBorder="1" applyAlignment="1">
      <x:alignment horizontal="center"/>
    </x:xf>
    <x:xf numFmtId="201" fontId="7" fillId="5" borderId="15" xfId="0" applyNumberFormat="1" applyFont="1" applyFill="1" applyBorder="1" applyAlignment="1">
      <x:alignment horizontal="center"/>
    </x:xf>
    <x:xf numFmtId="201" fontId="7" fillId="5" borderId="16" xfId="0" applyNumberFormat="1" applyFont="1" applyFill="1" applyBorder="1" applyAlignment="1">
      <x:alignment horizontal="center"/>
    </x:xf>
    <x:xf numFmtId="201" fontId="7" fillId="5" borderId="17" xfId="0" applyNumberFormat="1" applyFont="1" applyFill="1" applyBorder="1" applyAlignment="1">
      <x:alignment horizontal="center"/>
    </x:xf>
    <x:xf numFmtId="201" fontId="7" fillId="5" borderId="10" xfId="0" applyNumberFormat="1" applyFont="1" applyFill="1" applyBorder="1" applyAlignment="1">
      <x:alignment horizontal="center" vertical="center"/>
    </x:xf>
    <x:xf numFmtId="201" fontId="7" fillId="5" borderId="11" xfId="0" applyNumberFormat="1" applyFont="1" applyFill="1" applyBorder="1" applyAlignment="1">
      <x:alignment horizontal="center" vertical="center"/>
    </x:xf>
    <x:xf numFmtId="201" fontId="7" fillId="5" borderId="12" xfId="0" applyNumberFormat="1" applyFont="1" applyFill="1" applyBorder="1" applyAlignment="1">
      <x:alignment horizontal="center" vertical="center"/>
    </x:xf>
    <x:xf numFmtId="201" fontId="7" fillId="5" borderId="13" xfId="0" applyNumberFormat="1" applyFont="1" applyFill="1" applyBorder="1" applyAlignment="1">
      <x:alignment horizontal="center" vertical="center"/>
    </x:xf>
    <x:xf numFmtId="201" fontId="7" fillId="5" borderId="0" xfId="0" applyNumberFormat="1" applyFont="1" applyFill="1" applyBorder="1" applyAlignment="1">
      <x:alignment horizontal="center" vertical="center"/>
    </x:xf>
    <x:xf numFmtId="201" fontId="7" fillId="5" borderId="14" xfId="0" applyNumberFormat="1" applyFont="1" applyFill="1" applyBorder="1" applyAlignment="1">
      <x:alignment horizontal="center" vertical="center"/>
    </x:xf>
    <x:xf numFmtId="201" fontId="7" fillId="5" borderId="15" xfId="0" applyNumberFormat="1" applyFont="1" applyFill="1" applyBorder="1" applyAlignment="1">
      <x:alignment horizontal="center" vertical="center"/>
    </x:xf>
    <x:xf numFmtId="201" fontId="7" fillId="5" borderId="16" xfId="0" applyNumberFormat="1" applyFont="1" applyFill="1" applyBorder="1" applyAlignment="1">
      <x:alignment horizontal="center" vertical="center"/>
    </x:xf>
    <x:xf numFmtId="201" fontId="7" fillId="5" borderId="1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12" xfId="0" applyNumberFormat="1" applyFont="1" applyFill="1" applyBorder="1"/>
    <x:xf numFmtId="0" fontId="7" fillId="6" borderId="13" xfId="0" applyNumberFormat="1" applyFont="1" applyFill="1" applyBorder="1"/>
    <x:xf numFmtId="0" fontId="7" fillId="6" borderId="14" xfId="0" applyNumberFormat="1" applyFont="1" applyFill="1" applyBorder="1"/>
    <x:xf numFmtId="0" fontId="7" fillId="6" borderId="15" xfId="0" applyNumberFormat="1" applyFont="1" applyFill="1" applyBorder="1"/>
    <x:xf numFmtId="0" fontId="7" fillId="6" borderId="16" xfId="0" applyNumberFormat="1" applyFont="1" applyFill="1" applyBorder="1"/>
    <x:xf numFmtId="0" fontId="7" fillId="6" borderId="17" xfId="0" applyNumberFormat="1" applyFont="1" applyFill="1" applyBorder="1"/>
    <x:xf numFmtId="201" fontId="7" fillId="6" borderId="10" xfId="0" applyNumberFormat="1" applyFont="1" applyFill="1" applyBorder="1"/>
    <x:xf numFmtId="201" fontId="7" fillId="6" borderId="11" xfId="0" applyNumberFormat="1" applyFont="1" applyFill="1" applyBorder="1"/>
    <x:xf numFmtId="201" fontId="7" fillId="6" borderId="12" xfId="0" applyNumberFormat="1" applyFont="1" applyFill="1" applyBorder="1"/>
    <x:xf numFmtId="201" fontId="7" fillId="6" borderId="13" xfId="0" applyNumberFormat="1" applyFont="1" applyFill="1" applyBorder="1"/>
    <x:xf numFmtId="201" fontId="7" fillId="6" borderId="0" xfId="0" applyNumberFormat="1" applyFont="1" applyFill="1" applyBorder="1"/>
    <x:xf numFmtId="201" fontId="7" fillId="6" borderId="14" xfId="0" applyNumberFormat="1" applyFont="1" applyFill="1" applyBorder="1"/>
    <x:xf numFmtId="201" fontId="7" fillId="6" borderId="15" xfId="0" applyNumberFormat="1" applyFont="1" applyFill="1" applyBorder="1"/>
    <x:xf numFmtId="201" fontId="7" fillId="6" borderId="16" xfId="0" applyNumberFormat="1" applyFont="1" applyFill="1" applyBorder="1"/>
    <x:xf numFmtId="201" fontId="7" fillId="6" borderId="17" xfId="0" applyNumberFormat="1" applyFont="1" applyFill="1" applyBorder="1"/>
    <x:xf numFmtId="201" fontId="7" fillId="6" borderId="10" xfId="0" applyNumberFormat="1" applyFont="1" applyFill="1" applyBorder="1" applyAlignment="1">
      <x:alignment horizontal="center"/>
    </x:xf>
    <x:xf numFmtId="201" fontId="7" fillId="6" borderId="11" xfId="0" applyNumberFormat="1" applyFont="1" applyFill="1" applyBorder="1" applyAlignment="1">
      <x:alignment horizontal="center"/>
    </x:xf>
    <x:xf numFmtId="201" fontId="7" fillId="6" borderId="12" xfId="0" applyNumberFormat="1" applyFont="1" applyFill="1" applyBorder="1" applyAlignment="1">
      <x:alignment horizontal="center"/>
    </x:xf>
    <x:xf numFmtId="201" fontId="7" fillId="6" borderId="13" xfId="0" applyNumberFormat="1" applyFont="1" applyFill="1" applyBorder="1" applyAlignment="1">
      <x:alignment horizontal="center"/>
    </x:xf>
    <x:xf numFmtId="201" fontId="7" fillId="6" borderId="0" xfId="0" applyNumberFormat="1" applyFont="1" applyFill="1" applyBorder="1" applyAlignment="1">
      <x:alignment horizontal="center"/>
    </x:xf>
    <x:xf numFmtId="201" fontId="7" fillId="6" borderId="14" xfId="0" applyNumberFormat="1" applyFont="1" applyFill="1" applyBorder="1" applyAlignment="1">
      <x:alignment horizontal="center"/>
    </x:xf>
    <x:xf numFmtId="201" fontId="7" fillId="6" borderId="15" xfId="0" applyNumberFormat="1" applyFont="1" applyFill="1" applyBorder="1" applyAlignment="1">
      <x:alignment horizontal="center"/>
    </x:xf>
    <x:xf numFmtId="201" fontId="7" fillId="6" borderId="16" xfId="0" applyNumberFormat="1" applyFont="1" applyFill="1" applyBorder="1" applyAlignment="1">
      <x:alignment horizontal="center"/>
    </x:xf>
    <x:xf numFmtId="201" fontId="7" fillId="6" borderId="17" xfId="0" applyNumberFormat="1" applyFont="1" applyFill="1" applyBorder="1" applyAlignment="1">
      <x:alignment horizontal="center"/>
    </x:xf>
    <x:xf numFmtId="201" fontId="7" fillId="6" borderId="10" xfId="0" applyNumberFormat="1" applyFont="1" applyFill="1" applyBorder="1" applyAlignment="1">
      <x:alignment horizontal="center" vertical="center"/>
    </x:xf>
    <x:xf numFmtId="201" fontId="7" fillId="6" borderId="11" xfId="0" applyNumberFormat="1" applyFont="1" applyFill="1" applyBorder="1" applyAlignment="1">
      <x:alignment horizontal="center" vertical="center"/>
    </x:xf>
    <x:xf numFmtId="201" fontId="7" fillId="6" borderId="12" xfId="0" applyNumberFormat="1" applyFont="1" applyFill="1" applyBorder="1" applyAlignment="1">
      <x:alignment horizontal="center" vertical="center"/>
    </x:xf>
    <x:xf numFmtId="201" fontId="7" fillId="6" borderId="13" xfId="0" applyNumberFormat="1" applyFont="1" applyFill="1" applyBorder="1" applyAlignment="1">
      <x:alignment horizontal="center" vertical="center"/>
    </x:xf>
    <x:xf numFmtId="201" fontId="7" fillId="6" borderId="0" xfId="0" applyNumberFormat="1" applyFont="1" applyFill="1" applyBorder="1" applyAlignment="1">
      <x:alignment horizontal="center" vertical="center"/>
    </x:xf>
    <x:xf numFmtId="201" fontId="7" fillId="6" borderId="14" xfId="0" applyNumberFormat="1" applyFont="1" applyFill="1" applyBorder="1" applyAlignment="1">
      <x:alignment horizontal="center" vertical="center"/>
    </x:xf>
    <x:xf numFmtId="201" fontId="7" fillId="6" borderId="15" xfId="0" applyNumberFormat="1" applyFont="1" applyFill="1" applyBorder="1" applyAlignment="1">
      <x:alignment horizontal="center" vertical="center"/>
    </x:xf>
    <x:xf numFmtId="201" fontId="7" fillId="6" borderId="16" xfId="0" applyNumberFormat="1" applyFont="1" applyFill="1" applyBorder="1" applyAlignment="1">
      <x:alignment horizontal="center" vertical="center"/>
    </x:xf>
    <x:xf numFmtId="201" fontId="7" fillId="6" borderId="17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7" xfId="0" applyNumberFormat="1" applyFont="1" applyFill="1" applyBorder="1" applyAlignment="1">
      <x:alignment horizontal="center"/>
    </x:xf>
    <x:xf numFmtId="0" fontId="6" fillId="7" borderId="8" xfId="0" applyNumberFormat="1" applyFont="1" applyFill="1" applyBorder="1" applyAlignment="1">
      <x:alignment horizontal="center"/>
    </x:xf>
    <x:xf numFmtId="0" fontId="6" fillId="7" borderId="9" xfId="0" applyNumberFormat="1" applyFont="1" applyFill="1" applyBorder="1" applyAlignment="1">
      <x:alignment horizontal="center"/>
    </x:xf>
    <x:xf numFmtId="0" fontId="6" fillId="7" borderId="7" xfId="0" applyNumberFormat="1" applyFont="1" applyFill="1" applyBorder="1" applyAlignment="1">
      <x:alignment horizontal="center" vertical="center"/>
    </x:xf>
    <x:xf numFmtId="0" fontId="6" fillId="7" borderId="8" xfId="0" applyNumberFormat="1" applyFont="1" applyFill="1" applyBorder="1" applyAlignment="1">
      <x:alignment horizontal="center" vertical="center"/>
    </x:xf>
    <x:xf numFmtId="0" fontId="6" fillId="7" borderId="9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13" xfId="0" applyNumberFormat="1" applyFont="1" applyFill="1" applyBorder="1"/>
    <x:xf numFmtId="0" fontId="7" fillId="7" borderId="14" xfId="0" applyNumberFormat="1" applyFont="1" applyFill="1" applyBorder="1"/>
    <x:xf numFmtId="0" fontId="7" fillId="7" borderId="15" xfId="0" applyNumberFormat="1" applyFont="1" applyFill="1" applyBorder="1"/>
    <x:xf numFmtId="0" fontId="7" fillId="7" borderId="16" xfId="0" applyNumberFormat="1" applyFont="1" applyFill="1" applyBorder="1"/>
    <x:xf numFmtId="0" fontId="7" fillId="7" borderId="17" xfId="0" applyNumberFormat="1" applyFont="1" applyFill="1" applyBorder="1"/>
    <x:xf numFmtId="201" fontId="7" fillId="7" borderId="10" xfId="0" applyNumberFormat="1" applyFont="1" applyFill="1" applyBorder="1"/>
    <x:xf numFmtId="201" fontId="7" fillId="7" borderId="11" xfId="0" applyNumberFormat="1" applyFont="1" applyFill="1" applyBorder="1"/>
    <x:xf numFmtId="201" fontId="7" fillId="7" borderId="12" xfId="0" applyNumberFormat="1" applyFont="1" applyFill="1" applyBorder="1"/>
    <x:xf numFmtId="201" fontId="7" fillId="7" borderId="13" xfId="0" applyNumberFormat="1" applyFont="1" applyFill="1" applyBorder="1"/>
    <x:xf numFmtId="201" fontId="7" fillId="7" borderId="0" xfId="0" applyNumberFormat="1" applyFont="1" applyFill="1" applyBorder="1"/>
    <x:xf numFmtId="201" fontId="7" fillId="7" borderId="14" xfId="0" applyNumberFormat="1" applyFont="1" applyFill="1" applyBorder="1"/>
    <x:xf numFmtId="201" fontId="7" fillId="7" borderId="15" xfId="0" applyNumberFormat="1" applyFont="1" applyFill="1" applyBorder="1"/>
    <x:xf numFmtId="201" fontId="7" fillId="7" borderId="16" xfId="0" applyNumberFormat="1" applyFont="1" applyFill="1" applyBorder="1"/>
    <x:xf numFmtId="201" fontId="7" fillId="7" borderId="17" xfId="0" applyNumberFormat="1" applyFont="1" applyFill="1" applyBorder="1"/>
    <x:xf numFmtId="201" fontId="7" fillId="7" borderId="10" xfId="0" applyNumberFormat="1" applyFont="1" applyFill="1" applyBorder="1" applyAlignment="1">
      <x:alignment horizontal="center"/>
    </x:xf>
    <x:xf numFmtId="201" fontId="7" fillId="7" borderId="11" xfId="0" applyNumberFormat="1" applyFont="1" applyFill="1" applyBorder="1" applyAlignment="1">
      <x:alignment horizontal="center"/>
    </x:xf>
    <x:xf numFmtId="201" fontId="7" fillId="7" borderId="12" xfId="0" applyNumberFormat="1" applyFont="1" applyFill="1" applyBorder="1" applyAlignment="1">
      <x:alignment horizontal="center"/>
    </x:xf>
    <x:xf numFmtId="201" fontId="7" fillId="7" borderId="13" xfId="0" applyNumberFormat="1" applyFont="1" applyFill="1" applyBorder="1" applyAlignment="1">
      <x:alignment horizontal="center"/>
    </x:xf>
    <x:xf numFmtId="201" fontId="7" fillId="7" borderId="0" xfId="0" applyNumberFormat="1" applyFont="1" applyFill="1" applyBorder="1" applyAlignment="1">
      <x:alignment horizontal="center"/>
    </x:xf>
    <x:xf numFmtId="201" fontId="7" fillId="7" borderId="14" xfId="0" applyNumberFormat="1" applyFont="1" applyFill="1" applyBorder="1" applyAlignment="1">
      <x:alignment horizontal="center"/>
    </x:xf>
    <x:xf numFmtId="201" fontId="7" fillId="7" borderId="15" xfId="0" applyNumberFormat="1" applyFont="1" applyFill="1" applyBorder="1" applyAlignment="1">
      <x:alignment horizontal="center"/>
    </x:xf>
    <x:xf numFmtId="201" fontId="7" fillId="7" borderId="16" xfId="0" applyNumberFormat="1" applyFont="1" applyFill="1" applyBorder="1" applyAlignment="1">
      <x:alignment horizontal="center"/>
    </x:xf>
    <x:xf numFmtId="201" fontId="7" fillId="7" borderId="17" xfId="0" applyNumberFormat="1" applyFont="1" applyFill="1" applyBorder="1" applyAlignment="1">
      <x:alignment horizontal="center"/>
    </x:xf>
    <x:xf numFmtId="201" fontId="7" fillId="7" borderId="10" xfId="0" applyNumberFormat="1" applyFont="1" applyFill="1" applyBorder="1" applyAlignment="1">
      <x:alignment horizontal="center" vertical="center"/>
    </x:xf>
    <x:xf numFmtId="201" fontId="7" fillId="7" borderId="11" xfId="0" applyNumberFormat="1" applyFont="1" applyFill="1" applyBorder="1" applyAlignment="1">
      <x:alignment horizontal="center" vertical="center"/>
    </x:xf>
    <x:xf numFmtId="201" fontId="7" fillId="7" borderId="12" xfId="0" applyNumberFormat="1" applyFont="1" applyFill="1" applyBorder="1" applyAlignment="1">
      <x:alignment horizontal="center" vertical="center"/>
    </x:xf>
    <x:xf numFmtId="201" fontId="7" fillId="7" borderId="13" xfId="0" applyNumberFormat="1" applyFont="1" applyFill="1" applyBorder="1" applyAlignment="1">
      <x:alignment horizontal="center" vertical="center"/>
    </x:xf>
    <x:xf numFmtId="201" fontId="7" fillId="7" borderId="0" xfId="0" applyNumberFormat="1" applyFont="1" applyFill="1" applyBorder="1" applyAlignment="1">
      <x:alignment horizontal="center" vertical="center"/>
    </x:xf>
    <x:xf numFmtId="201" fontId="7" fillId="7" borderId="14" xfId="0" applyNumberFormat="1" applyFont="1" applyFill="1" applyBorder="1" applyAlignment="1">
      <x:alignment horizontal="center" vertical="center"/>
    </x:xf>
    <x:xf numFmtId="201" fontId="7" fillId="7" borderId="15" xfId="0" applyNumberFormat="1" applyFont="1" applyFill="1" applyBorder="1" applyAlignment="1">
      <x:alignment horizontal="center" vertical="center"/>
    </x:xf>
    <x:xf numFmtId="201" fontId="7" fillId="7" borderId="16" xfId="0" applyNumberFormat="1" applyFont="1" applyFill="1" applyBorder="1" applyAlignment="1">
      <x:alignment horizontal="center" vertical="center"/>
    </x:xf>
    <x:xf numFmtId="201" fontId="7" fillId="7" borderId="17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7" xfId="0" applyNumberFormat="1" applyFont="1" applyFill="1" applyBorder="1"/>
    <x:xf numFmtId="0" fontId="6" fillId="8" borderId="8" xfId="0" applyNumberFormat="1" applyFont="1" applyFill="1" applyBorder="1"/>
    <x:xf numFmtId="0" fontId="6" fillId="8" borderId="9" xfId="0" applyNumberFormat="1" applyFont="1" applyFill="1" applyBorder="1"/>
    <x:xf numFmtId="0" fontId="6" fillId="8" borderId="7" xfId="0" applyNumberFormat="1" applyFont="1" applyFill="1" applyBorder="1" applyAlignment="1">
      <x:alignment horizontal="center"/>
    </x:xf>
    <x:xf numFmtId="0" fontId="6" fillId="8" borderId="8" xfId="0" applyNumberFormat="1" applyFont="1" applyFill="1" applyBorder="1" applyAlignment="1">
      <x:alignment horizontal="center"/>
    </x:xf>
    <x:xf numFmtId="0" fontId="6" fillId="8" borderId="9" xfId="0" applyNumberFormat="1" applyFont="1" applyFill="1" applyBorder="1" applyAlignment="1">
      <x:alignment horizontal="center"/>
    </x:xf>
    <x:xf numFmtId="0" fontId="6" fillId="8" borderId="7" xfId="0" applyNumberFormat="1" applyFont="1" applyFill="1" applyBorder="1" applyAlignment="1">
      <x:alignment horizontal="center" vertical="center"/>
    </x:xf>
    <x:xf numFmtId="0" fontId="6" fillId="8" borderId="8" xfId="0" applyNumberFormat="1" applyFont="1" applyFill="1" applyBorder="1" applyAlignment="1">
      <x:alignment horizontal="center" vertical="center"/>
    </x:xf>
    <x:xf numFmtId="0" fontId="6" fillId="8" borderId="9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/>
    <x:xf numFmtId="0" fontId="7" fillId="8" borderId="10" xfId="0" applyNumberFormat="1" applyFont="1" applyFill="1" applyBorder="1"/>
    <x:xf numFmtId="0" fontId="7" fillId="8" borderId="11" xfId="0" applyNumberFormat="1" applyFont="1" applyFill="1" applyBorder="1"/>
    <x:xf numFmtId="0" fontId="7" fillId="8" borderId="12" xfId="0" applyNumberFormat="1" applyFont="1" applyFill="1" applyBorder="1"/>
    <x:xf numFmtId="0" fontId="7" fillId="8" borderId="13" xfId="0" applyNumberFormat="1" applyFont="1" applyFill="1" applyBorder="1"/>
    <x:xf numFmtId="0" fontId="7" fillId="8" borderId="14" xfId="0" applyNumberFormat="1" applyFont="1" applyFill="1" applyBorder="1"/>
    <x:xf numFmtId="0" fontId="7" fillId="8" borderId="15" xfId="0" applyNumberFormat="1" applyFont="1" applyFill="1" applyBorder="1"/>
    <x:xf numFmtId="0" fontId="7" fillId="8" borderId="16" xfId="0" applyNumberFormat="1" applyFont="1" applyFill="1" applyBorder="1"/>
    <x:xf numFmtId="0" fontId="7" fillId="8" borderId="17" xfId="0" applyNumberFormat="1" applyFont="1" applyFill="1" applyBorder="1"/>
    <x:xf numFmtId="201" fontId="7" fillId="8" borderId="10" xfId="0" applyNumberFormat="1" applyFont="1" applyFill="1" applyBorder="1"/>
    <x:xf numFmtId="201" fontId="7" fillId="8" borderId="11" xfId="0" applyNumberFormat="1" applyFont="1" applyFill="1" applyBorder="1"/>
    <x:xf numFmtId="201" fontId="7" fillId="8" borderId="12" xfId="0" applyNumberFormat="1" applyFont="1" applyFill="1" applyBorder="1"/>
    <x:xf numFmtId="201" fontId="7" fillId="8" borderId="13" xfId="0" applyNumberFormat="1" applyFont="1" applyFill="1" applyBorder="1"/>
    <x:xf numFmtId="201" fontId="7" fillId="8" borderId="0" xfId="0" applyNumberFormat="1" applyFont="1" applyFill="1" applyBorder="1"/>
    <x:xf numFmtId="201" fontId="7" fillId="8" borderId="14" xfId="0" applyNumberFormat="1" applyFont="1" applyFill="1" applyBorder="1"/>
    <x:xf numFmtId="201" fontId="7" fillId="8" borderId="15" xfId="0" applyNumberFormat="1" applyFont="1" applyFill="1" applyBorder="1"/>
    <x:xf numFmtId="201" fontId="7" fillId="8" borderId="16" xfId="0" applyNumberFormat="1" applyFont="1" applyFill="1" applyBorder="1"/>
    <x:xf numFmtId="201" fontId="7" fillId="8" borderId="17" xfId="0" applyNumberFormat="1" applyFont="1" applyFill="1" applyBorder="1"/>
    <x:xf numFmtId="201" fontId="7" fillId="8" borderId="10" xfId="0" applyNumberFormat="1" applyFont="1" applyFill="1" applyBorder="1" applyAlignment="1">
      <x:alignment horizontal="center"/>
    </x:xf>
    <x:xf numFmtId="201" fontId="7" fillId="8" borderId="11" xfId="0" applyNumberFormat="1" applyFont="1" applyFill="1" applyBorder="1" applyAlignment="1">
      <x:alignment horizontal="center"/>
    </x:xf>
    <x:xf numFmtId="201" fontId="7" fillId="8" borderId="12" xfId="0" applyNumberFormat="1" applyFont="1" applyFill="1" applyBorder="1" applyAlignment="1">
      <x:alignment horizontal="center"/>
    </x:xf>
    <x:xf numFmtId="201" fontId="7" fillId="8" borderId="13" xfId="0" applyNumberFormat="1" applyFont="1" applyFill="1" applyBorder="1" applyAlignment="1">
      <x:alignment horizontal="center"/>
    </x:xf>
    <x:xf numFmtId="201" fontId="7" fillId="8" borderId="0" xfId="0" applyNumberFormat="1" applyFont="1" applyFill="1" applyBorder="1" applyAlignment="1">
      <x:alignment horizontal="center"/>
    </x:xf>
    <x:xf numFmtId="201" fontId="7" fillId="8" borderId="14" xfId="0" applyNumberFormat="1" applyFont="1" applyFill="1" applyBorder="1" applyAlignment="1">
      <x:alignment horizontal="center"/>
    </x:xf>
    <x:xf numFmtId="201" fontId="7" fillId="8" borderId="15" xfId="0" applyNumberFormat="1" applyFont="1" applyFill="1" applyBorder="1" applyAlignment="1">
      <x:alignment horizontal="center"/>
    </x:xf>
    <x:xf numFmtId="201" fontId="7" fillId="8" borderId="16" xfId="0" applyNumberFormat="1" applyFont="1" applyFill="1" applyBorder="1" applyAlignment="1">
      <x:alignment horizontal="center"/>
    </x:xf>
    <x:xf numFmtId="201" fontId="7" fillId="8" borderId="17" xfId="0" applyNumberFormat="1" applyFont="1" applyFill="1" applyBorder="1" applyAlignment="1">
      <x:alignment horizontal="center"/>
    </x:xf>
    <x:xf numFmtId="201" fontId="7" fillId="8" borderId="10" xfId="0" applyNumberFormat="1" applyFont="1" applyFill="1" applyBorder="1" applyAlignment="1">
      <x:alignment horizontal="center" vertical="center"/>
    </x:xf>
    <x:xf numFmtId="201" fontId="7" fillId="8" borderId="11" xfId="0" applyNumberFormat="1" applyFont="1" applyFill="1" applyBorder="1" applyAlignment="1">
      <x:alignment horizontal="center" vertical="center"/>
    </x:xf>
    <x:xf numFmtId="201" fontId="7" fillId="8" borderId="12" xfId="0" applyNumberFormat="1" applyFont="1" applyFill="1" applyBorder="1" applyAlignment="1">
      <x:alignment horizontal="center" vertical="center"/>
    </x:xf>
    <x:xf numFmtId="201" fontId="7" fillId="8" borderId="13" xfId="0" applyNumberFormat="1" applyFont="1" applyFill="1" applyBorder="1" applyAlignment="1">
      <x:alignment horizontal="center" vertical="center"/>
    </x:xf>
    <x:xf numFmtId="201" fontId="7" fillId="8" borderId="0" xfId="0" applyNumberFormat="1" applyFont="1" applyFill="1" applyBorder="1" applyAlignment="1">
      <x:alignment horizontal="center" vertical="center"/>
    </x:xf>
    <x:xf numFmtId="201" fontId="7" fillId="8" borderId="14" xfId="0" applyNumberFormat="1" applyFont="1" applyFill="1" applyBorder="1" applyAlignment="1">
      <x:alignment horizontal="center" vertical="center"/>
    </x:xf>
    <x:xf numFmtId="201" fontId="7" fillId="8" borderId="15" xfId="0" applyNumberFormat="1" applyFont="1" applyFill="1" applyBorder="1" applyAlignment="1">
      <x:alignment horizontal="center" vertical="center"/>
    </x:xf>
    <x:xf numFmtId="201" fontId="7" fillId="8" borderId="16" xfId="0" applyNumberFormat="1" applyFont="1" applyFill="1" applyBorder="1" applyAlignment="1">
      <x:alignment horizontal="center" vertical="center"/>
    </x:xf>
    <x:xf numFmtId="201" fontId="7" fillId="8" borderId="17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left"/>
    </x:xf>
    <x:xf numFmtId="0" fontId="3" fillId="9" borderId="0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0" fontId="8" fillId="0" borderId="0" xfId="0" applyNumberFormat="1" applyFont="1" applyFill="1" applyBorder="1"/>
    <x:xf numFmtId="202" fontId="8" fillId="0" borderId="0" xfId="0" applyNumberFormat="1" applyFont="1" applyFill="1" applyBorder="1"/>
    <x:xf numFmtId="0" fontId="8" fillId="0" borderId="17" xfId="0" applyNumberFormat="1" applyFont="1" applyFill="1" applyBorder="1"/>
    <x:xf numFmtId="0" fontId="8" fillId="0" borderId="18" xfId="0" applyNumberFormat="1" applyFont="1" applyFill="1" applyBorder="1"/>
    <x:xf numFmtId="0" fontId="8" fillId="0" borderId="15" xfId="0" applyNumberFormat="1" applyFont="1" applyFill="1" applyBorder="1"/>
    <x:xf numFmtId="0" fontId="8" fillId="0" borderId="9" xfId="0" applyNumberFormat="1" applyFont="1" applyFill="1" applyBorder="1"/>
    <x:xf numFmtId="0" fontId="8" fillId="0" borderId="19" xfId="0" applyNumberFormat="1" applyFont="1" applyFill="1" applyBorder="1"/>
    <x:xf numFmtId="202" fontId="8" fillId="0" borderId="7" xfId="0" applyNumberFormat="1" applyFont="1" applyFill="1" applyBorder="1"/>
    <x:xf numFmtId="0" fontId="8" fillId="0" borderId="12" xfId="0" applyNumberFormat="1" applyFont="1" applyFill="1" applyBorder="1"/>
    <x:xf numFmtId="0" fontId="8" fillId="0" borderId="20" xfId="0" applyNumberFormat="1" applyFont="1" applyFill="1" applyBorder="1"/>
    <x:xf numFmtId="202" fontId="8" fillId="0" borderId="10" xfId="0" applyNumberFormat="1" applyFont="1" applyFill="1" applyBorder="1"/>
    <x:xf numFmtId="0" fontId="8" fillId="0" borderId="7" xfId="0" applyNumberFormat="1" applyFont="1" applyFill="1" applyBorder="1"/>
    <x:xf numFmtId="0" fontId="8" fillId="0" borderId="10" xfId="0" applyNumberFormat="1" applyFont="1" applyFill="1" applyBorder="1"/>
    <x:xf numFmtId="0" fontId="8" fillId="4" borderId="17" xfId="0" applyNumberFormat="1" applyFont="1" applyFill="1" applyBorder="1"/>
    <x:xf numFmtId="0" fontId="8" fillId="4" borderId="18" xfId="0" applyNumberFormat="1" applyFont="1" applyFill="1" applyBorder="1"/>
    <x:xf numFmtId="0" fontId="8" fillId="4" borderId="15" xfId="0" applyNumberFormat="1" applyFont="1" applyFill="1" applyBorder="1"/>
    <x:xf numFmtId="0" fontId="9" fillId="4" borderId="17" xfId="0" applyNumberFormat="1" applyFont="1" applyFill="1" applyBorder="1"/>
    <x:xf numFmtId="0" fontId="9" fillId="4" borderId="18" xfId="0" applyNumberFormat="1" applyFont="1" applyFill="1" applyBorder="1"/>
    <x:xf numFmtId="0" fontId="9" fillId="4" borderId="15" xfId="0" applyNumberFormat="1" applyFont="1" applyFill="1" applyBorder="1"/>
    <x:xf numFmtId="0" fontId="9" fillId="4" borderId="21" xfId="0" applyNumberFormat="1" applyFont="1" applyFill="1" applyBorder="1"/>
    <x:xf numFmtId="0" fontId="9" fillId="4" borderId="22" xfId="0" applyNumberFormat="1" applyFont="1" applyFill="1" applyBorder="1"/>
    <x:xf numFmtId="0" fontId="9" fillId="4" borderId="23" xfId="0" applyNumberFormat="1" applyFont="1" applyFill="1" applyBorder="1"/>
    <x:xf numFmtId="0" fontId="9" fillId="4" borderId="21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0" fontId="9" fillId="4" borderId="23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horizontal="center" wrapText="1"/>
    </x:xf>
    <x:xf numFmtId="0" fontId="9" fillId="4" borderId="22" xfId="0" applyNumberFormat="1" applyFont="1" applyFill="1" applyBorder="1" applyAlignment="1">
      <x:alignment horizontal="center" wrapText="1"/>
    </x:xf>
    <x:xf numFmtId="0" fontId="9" fillId="4" borderId="23" xfId="0" applyNumberFormat="1" applyFont="1" applyFill="1" applyBorder="1" applyAlignment="1">
      <x:alignment horizontal="center" wrapText="1"/>
    </x:xf>
    <x:xf numFmtId="0" fontId="9" fillId="4" borderId="21" xfId="0" applyNumberFormat="1" applyFont="1" applyFill="1" applyBorder="1" applyAlignment="1">
      <x:alignment horizontal="center" vertical="center" wrapText="1"/>
    </x:xf>
    <x:xf numFmtId="0" fontId="9" fillId="4" borderId="22" xfId="0" applyNumberFormat="1" applyFont="1" applyFill="1" applyBorder="1" applyAlignment="1">
      <x:alignment horizontal="center" vertical="center" wrapText="1"/>
    </x:xf>
    <x:xf numFmtId="0" fontId="9" fillId="4" borderId="23" xfId="0" applyNumberFormat="1" applyFont="1" applyFill="1" applyBorder="1" applyAlignment="1">
      <x:alignment horizontal="center" vertical="center" wrapText="1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left"/>
    </x:xf>
    <x:xf numFmtId="0" fontId="10" fillId="6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10" xfId="0" applyNumberFormat="1" applyFont="1" applyFill="1" applyBorder="1"/>
    <x:xf numFmtId="0" fontId="4" fillId="10" borderId="11" xfId="0" applyNumberFormat="1" applyFont="1" applyFill="1" applyBorder="1"/>
    <x:xf numFmtId="0" fontId="4" fillId="10" borderId="12" xfId="0" applyNumberFormat="1" applyFont="1" applyFill="1" applyBorder="1"/>
    <x:xf numFmtId="0" fontId="4" fillId="10" borderId="13" xfId="0" applyNumberFormat="1" applyFont="1" applyFill="1" applyBorder="1"/>
    <x:xf numFmtId="0" fontId="4" fillId="10" borderId="14" xfId="0" applyNumberFormat="1" applyFont="1" applyFill="1" applyBorder="1"/>
    <x:xf numFmtId="0" fontId="4" fillId="10" borderId="15" xfId="0" applyNumberFormat="1" applyFont="1" applyFill="1" applyBorder="1"/>
    <x:xf numFmtId="0" fontId="4" fillId="10" borderId="16" xfId="0" applyNumberFormat="1" applyFont="1" applyFill="1" applyBorder="1"/>
    <x:xf numFmtId="0" fontId="4" fillId="10" borderId="17" xfId="0" applyNumberFormat="1" applyFont="1" applyFill="1" applyBorder="1"/>
    <x:xf numFmtId="0" fontId="4" fillId="10" borderId="10" xfId="0" applyNumberFormat="1" applyFont="1" applyFill="1" applyBorder="1" applyAlignment="1">
      <x:alignment wrapText="1"/>
    </x:xf>
    <x:xf numFmtId="0" fontId="4" fillId="10" borderId="11" xfId="0" applyNumberFormat="1" applyFont="1" applyFill="1" applyBorder="1" applyAlignment="1">
      <x:alignment wrapText="1"/>
    </x:xf>
    <x:xf numFmtId="0" fontId="4" fillId="10" borderId="12" xfId="0" applyNumberFormat="1" applyFont="1" applyFill="1" applyBorder="1" applyAlignment="1">
      <x:alignment wrapText="1"/>
    </x:xf>
    <x:xf numFmtId="0" fontId="4" fillId="10" borderId="13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wrapText="1"/>
    </x:xf>
    <x:xf numFmtId="0" fontId="4" fillId="10" borderId="14" xfId="0" applyNumberFormat="1" applyFont="1" applyFill="1" applyBorder="1" applyAlignment="1">
      <x:alignment wrapText="1"/>
    </x:xf>
    <x:xf numFmtId="0" fontId="4" fillId="10" borderId="15" xfId="0" applyNumberFormat="1" applyFont="1" applyFill="1" applyBorder="1" applyAlignment="1">
      <x:alignment wrapText="1"/>
    </x:xf>
    <x:xf numFmtId="0" fontId="4" fillId="10" borderId="16" xfId="0" applyNumberFormat="1" applyFont="1" applyFill="1" applyBorder="1" applyAlignment="1">
      <x:alignment wrapText="1"/>
    </x:xf>
    <x:xf numFmtId="0" fontId="4" fillId="10" borderId="17" xfId="0" applyNumberFormat="1" applyFont="1" applyFill="1" applyBorder="1" applyAlignment="1">
      <x:alignment wrapText="1"/>
    </x:xf>
    <x:xf numFmtId="0" fontId="4" fillId="10" borderId="10" xfId="0" applyNumberFormat="1" applyFont="1" applyFill="1" applyBorder="1" applyAlignment="1">
      <x:alignment vertical="top" wrapText="1"/>
    </x:xf>
    <x:xf numFmtId="0" fontId="4" fillId="10" borderId="11" xfId="0" applyNumberFormat="1" applyFont="1" applyFill="1" applyBorder="1" applyAlignment="1">
      <x:alignment vertical="top" wrapText="1"/>
    </x:xf>
    <x:xf numFmtId="0" fontId="4" fillId="10" borderId="12" xfId="0" applyNumberFormat="1" applyFont="1" applyFill="1" applyBorder="1" applyAlignment="1">
      <x:alignment vertical="top" wrapText="1"/>
    </x:xf>
    <x:xf numFmtId="0" fontId="4" fillId="10" borderId="13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14" xfId="0" applyNumberFormat="1" applyFont="1" applyFill="1" applyBorder="1" applyAlignment="1">
      <x:alignment vertical="top" wrapText="1"/>
    </x:xf>
    <x:xf numFmtId="0" fontId="4" fillId="10" borderId="15" xfId="0" applyNumberFormat="1" applyFont="1" applyFill="1" applyBorder="1" applyAlignment="1">
      <x:alignment vertical="top" wrapText="1"/>
    </x:xf>
    <x:xf numFmtId="0" fontId="4" fillId="10" borderId="16" xfId="0" applyNumberFormat="1" applyFont="1" applyFill="1" applyBorder="1" applyAlignment="1">
      <x:alignment vertical="top" wrapText="1"/>
    </x:xf>
    <x:xf numFmtId="0" fontId="4" fillId="10" borderId="17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top"/>
    </x:xf>
    <x:xf numFmtId="0" fontId="11" fillId="6" borderId="0" xfId="0" applyNumberFormat="1" applyFont="1" applyFill="1" applyBorder="1" applyAlignment="1">
      <x:alignment vertical="top"/>
    </x:xf>
    <x:xf numFmtId="0" fontId="10" fillId="6" borderId="0" xfId="0" applyNumberFormat="1" applyFont="1" applyFill="1" applyBorder="1" applyAlignment="1">
      <x:alignment vertical="top"/>
    </x:xf>
    <x:xf numFmtId="0" fontId="10" fillId="6" borderId="0" xfId="0" applyNumberFormat="1" applyFont="1" applyFill="1" applyBorder="1" applyAlignment="1">
      <x:alignment horizontal="center" vertical="top"/>
    </x:xf>
    <x:xf numFmtId="0" fontId="11" fillId="7" borderId="0" xfId="0" applyNumberFormat="1" applyFont="1" applyFill="1" applyBorder="1" applyAlignment="1">
      <x:alignment vertical="top"/>
    </x:xf>
    <x:xf numFmtId="0" fontId="12" fillId="7" borderId="0" xfId="0" applyNumberFormat="1" applyFont="1" applyFill="1" applyBorder="1" applyAlignment="1">
      <x:alignment vertical="top"/>
    </x:xf>
    <x:xf numFmtId="0" fontId="12" fillId="7" borderId="0" xfId="0" applyNumberFormat="1" applyFont="1" applyFill="1" applyBorder="1" applyAlignment="1">
      <x:alignment horizontal="center" vertical="top"/>
    </x:xf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horizontal="left"/>
    </x:xf>
    <x:xf numFmtId="0" fontId="13" fillId="8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3">
    <x:dxf>
      <x:font>
        <x:b/>
        <x:color rgb="FF92400E"/>
      </x:font>
      <x:fill>
        <x:patternFill patternType="solid">
          <x:bgColor rgb="FFFDE68A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fb73c1d0d74a77" /><Relationship Type="http://schemas.openxmlformats.org/officeDocument/2006/relationships/theme" Target="/xl/theme/theme1.xml" Id="R86f285a7e2ab4b09" /><Relationship Type="http://schemas.openxmlformats.org/officeDocument/2006/relationships/sharedStrings" Target="/xl/sharedStrings.xml" Id="R74df7fe717b04cf0" /><Relationship Type="http://schemas.openxmlformats.org/officeDocument/2006/relationships/worksheet" Target="/xl/worksheets/sheet1.xml" Id="R06c6735268394a6b" /><Relationship Type="http://schemas.openxmlformats.org/officeDocument/2006/relationships/worksheet" Target="/xl/worksheets/sheet2.xml" Id="R5d92f636a8b44062" /><Relationship Type="http://schemas.openxmlformats.org/officeDocument/2006/relationships/worksheet" Target="/xl/worksheets/sheet3.xml" Id="R7aafb69f62604703" /><Relationship Type="http://schemas.microsoft.com/office/2017/10/relationships/person" Target="/xl/persons/person.xml" Id="R43595b907d5843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43c1d0dac9401e" /><Relationship Type="http://schemas.openxmlformats.org/officeDocument/2006/relationships/chart" Target="/xl/drawings/charts/chart2.xml" Id="R48e5146eb76447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Fictional activity by week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Activity records</c:v>
          </c:tx>
          <c:marker>
            <c:symbol val="none"/>
          </c:marker>
          <c:cat>
            <c:strRef>
              <c:f>'Dashboard'!$A$29:$A$34</c:f>
              <c:strCache>
                <c:ptCount val="0"/>
              </c:strCache>
            </c:strRef>
          </c:cat>
          <c:val>
            <c:numRef>
              <c:f>'Dashboard'!$B$29:$B$34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Fictional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'Dashboard'!$D$29:$D$31</c:f>
              <c:strCache>
                <c:ptCount val="0"/>
              </c:strCache>
            </c:strRef>
          </c:cat>
          <c:val>
            <c:numRef>
              <c:f>'Dashboard'!$E$29:$E$31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10</xdr:row>
      <xdr:rowOff>0</xdr:rowOff>
    </xdr:from>
    <xdr:to>
      <xdr:col>6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43c1d0dac9401e"/>
        </a:graphicData>
      </a:graphic>
    </xdr:graphicFrame>
    <xdr:clientData/>
  </xdr:twoCellAnchor>
  <xdr:twoCellAnchor>
    <xdr:from>
      <xdr:col>6</xdr:col>
      <xdr:colOff>0</xdr:colOff>
      <xdr:row>10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e5146eb7644790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Jonathan Capalbo" id="{F574E941-5898-48D7-B7A9-42BD747ED444}"/>
</xltc:personList>
</file>

<file path=xl/tables/table1.xml><?xml version="1.0" encoding="utf-8"?>
<x:table xmlns:x="http://schemas.openxmlformats.org/spreadsheetml/2006/main" id="1" name="ActivityLogTable" displayName="ActivityLogTable" ref="A5:J65" headerRowCount="1" totalsRowCount="0" totalsRowShown="0">
  <x:autoFilter ref="A5:J65"/>
  <x:tableColumns count="10">
    <x:tableColumn id="1" name="Date"/>
    <x:tableColumn id="2" name="Week Starting"/>
    <x:tableColumn id="3" name="Interaction ID"/>
    <x:tableColumn id="4" name="Channel"/>
    <x:tableColumn id="5" name="Outcome"/>
    <x:tableColumn id="6" name="Follow-up Needed"/>
    <x:tableColumn id="7" name="Status"/>
    <x:tableColumn id="8" name="Notes"/>
    <x:tableColumn id="9" name="Duplicate Check"/>
    <x:tableColumn id="10" name="Completeness 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3" dT="2026-08-10T22:21:13.284" personId="{F574E941-5898-48D7-B7A9-42BD747ED444}" id="{8A4CF464-917D-494A-F5FF-CF0E53ABFCA3}">
    <xltc:text>This public demonstration workbook contains only fabricated records and intentionally omits company-specific fields.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95b0bf051540e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4b617227e6a94599" /><Relationship Type="http://schemas.openxmlformats.org/officeDocument/2006/relationships/vmlDrawing" Target="/xl/drawings/vmldrawing.vml" Id="R10edaec926f849c9" /><Relationship Type="http://schemas.microsoft.com/office/2017/10/relationships/threadedComment" Target="/xl/threadedcomments/threadedcomment.xml" Id="R18bf98735cc94d9c" /><Relationship Type="http://schemas.openxmlformats.org/officeDocument/2006/relationships/table" Target="/xl/tables/table1.xml" Id="Rc02acb91227f413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8" customHeight="1">
      <x:c r="A1" s="4" t="str">
        <x:v>Fictional Sales Activity 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</x:row>
    <x:row r="3" ht="25" customHeight="1">
      <x:c r="A3" s="8" t="str">
        <x:v>Portfolio demonstration — every record is fictional and no goals, revenue, products, accounts, or customer details are included.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</x:row>
    <x:row r="5" ht="24" customHeight="1">
      <x:c r="A5" s="52" t="str">
        <x:v>Activity records</x:v>
      </x:c>
      <x:c r="B5" s="53"/>
      <x:c r="C5" s="54"/>
      <x:c r="D5" s="99" t="str">
        <x:v>Completed outcomes</x:v>
      </x:c>
      <x:c r="E5" s="100"/>
      <x:c r="F5" s="101"/>
      <x:c r="G5" s="146" t="str">
        <x:v>Follow-ups flagged</x:v>
      </x:c>
      <x:c r="H5" s="147"/>
      <x:c r="I5" s="148"/>
      <x:c r="J5" s="193" t="str">
        <x:v>Data-quality alerts</x:v>
      </x:c>
      <x:c r="K5" s="194"/>
      <x:c r="L5" s="195"/>
    </x:row>
    <x:row r="6" ht="25" customHeight="1">
      <x:c r="A6" s="82" t="n">
        <x:f>COUNTA('Activity Log'!$C$6:$C$65)</x:f>
        <x:v>42</x:v>
      </x:c>
      <x:c r="B6" s="83"/>
      <x:c r="C6" s="84"/>
      <x:c r="D6" s="129" t="n">
        <x:f>COUNTIF('Activity Log'!$E$6:$E$65,"Completed")</x:f>
        <x:v>21</x:v>
      </x:c>
      <x:c r="E6" s="130"/>
      <x:c r="F6" s="131"/>
      <x:c r="G6" s="176" t="n">
        <x:f>COUNTIF('Activity Log'!$F$6:$F$65,"Yes")</x:f>
        <x:v>14</x:v>
      </x:c>
      <x:c r="H6" s="177"/>
      <x:c r="I6" s="178"/>
      <x:c r="J6" s="223" t="n">
        <x:f>COUNTIF('Activity Log'!$I$6:$I$65,"Review")+COUNTIF('Activity Log'!$J$6:$J$65,"Missing required field")</x:f>
        <x:v>3</x:v>
      </x:c>
      <x:c r="K6" s="224"/>
      <x:c r="L6" s="225"/>
    </x:row>
    <x:row r="7" ht="25" customHeight="1">
      <x:c r="A7" s="85"/>
      <x:c r="B7" s="86"/>
      <x:c r="C7" s="87"/>
      <x:c r="D7" s="132"/>
      <x:c r="E7" s="133"/>
      <x:c r="F7" s="134"/>
      <x:c r="G7" s="179"/>
      <x:c r="H7" s="180"/>
      <x:c r="I7" s="181"/>
      <x:c r="J7" s="226"/>
      <x:c r="K7" s="227"/>
      <x:c r="L7" s="228"/>
    </x:row>
    <x:row r="8" ht="25" customHeight="1">
      <x:c r="A8" s="88"/>
      <x:c r="B8" s="89"/>
      <x:c r="C8" s="90"/>
      <x:c r="D8" s="135"/>
      <x:c r="E8" s="136"/>
      <x:c r="F8" s="137"/>
      <x:c r="G8" s="182"/>
      <x:c r="H8" s="183"/>
      <x:c r="I8" s="184"/>
      <x:c r="J8" s="229"/>
      <x:c r="K8" s="230"/>
      <x:c r="L8" s="231"/>
    </x:row>
    <x:row r="10" ht="24" customHeight="1">
      <x:c r="A10" s="235" t="str">
        <x:v>Weekly activity trend</x:v>
      </x:c>
      <x:c r="B10" s="235"/>
      <x:c r="C10" s="235"/>
      <x:c r="D10" s="235"/>
      <x:c r="E10" s="235"/>
      <x:c r="F10" s="235"/>
      <x:c r="G10" s="235" t="str">
        <x:v>Outcome mix</x:v>
      </x:c>
      <x:c r="H10" s="235"/>
      <x:c r="I10" s="235"/>
      <x:c r="J10" s="235"/>
      <x:c r="K10" s="235"/>
      <x:c r="L10" s="235"/>
    </x:row>
    <x:row r="27" ht="22" customHeight="1">
      <x:c r="A27" s="270" t="str">
        <x:v>Formula-driven chart data</x:v>
      </x:c>
      <x:c r="B27" s="270"/>
      <x:c r="C27" s="270"/>
      <x:c r="D27" s="270"/>
      <x:c r="E27" s="270"/>
      <x:c r="F27" s="270"/>
      <x:c r="G27" s="270"/>
      <x:c r="H27" s="270"/>
    </x:row>
    <x:row r="28" ht="23" customHeight="1">
      <x:c r="A28" s="265" t="str">
        <x:v>Week</x:v>
      </x:c>
      <x:c r="B28" s="266" t="str">
        <x:v>Activity records</x:v>
      </x:c>
      <x:c r="C28" s="267" t="str">
        <x:v>Source date</x:v>
      </x:c>
      <x:c r="D28" s="265" t="str">
        <x:v>Outcome</x:v>
      </x:c>
      <x:c r="E28" s="267" t="str">
        <x:v>Count</x:v>
      </x:c>
      <x:c r="G28" s="265" t="str">
        <x:v>Channel</x:v>
      </x:c>
      <x:c r="H28" s="267" t="str">
        <x:v>Count</x:v>
      </x:c>
      <x:c r="J28" s="290" t="str">
        <x:v>What this demonstrates
• Structured activity capture
• Formula-driven summaries
• Data validation
• Duplicate and completeness checks
• Native Excel charts</x:v>
      </x:c>
      <x:c r="K28" s="291"/>
      <x:c r="L28" s="292"/>
    </x:row>
    <x:row r="29" ht="23" customHeight="1">
      <x:c r="A29" s="242" t="str">
        <x:f>TEXT(C29,"mmm d")</x:f>
        <x:v>Jun 1</x:v>
      </x:c>
      <x:c r="B29" s="243" t="n">
        <x:f>COUNTIF('Activity Log'!$B$6:$B$65,C29)</x:f>
        <x:v>5</x:v>
      </x:c>
      <x:c r="C29" s="244" t="n">
        <x:v>46174.5</x:v>
      </x:c>
      <x:c r="D29" s="242" t="str">
        <x:v>Completed</x:v>
      </x:c>
      <x:c r="E29" s="248" t="n">
        <x:f>COUNTIF('Activity Log'!$E$6:$E$65,D29)</x:f>
        <x:v>21</x:v>
      </x:c>
      <x:c r="G29" s="242" t="str">
        <x:v>Phone</x:v>
      </x:c>
      <x:c r="H29" s="248" t="n">
        <x:f>COUNTIF('Activity Log'!$D$6:$D$65,G29)</x:f>
        <x:v>11</x:v>
      </x:c>
      <x:c r="J29" s="293"/>
      <x:c r="K29" s="294"/>
      <x:c r="L29" s="295"/>
    </x:row>
    <x:row r="30" ht="23" customHeight="1">
      <x:c r="A30" s="242" t="str">
        <x:f>TEXT(C30,"mmm d")</x:f>
        <x:v>Jun 8</x:v>
      </x:c>
      <x:c r="B30" s="243" t="n">
        <x:f>COUNTIF('Activity Log'!$B$6:$B$65,C30)</x:f>
        <x:v>6</x:v>
      </x:c>
      <x:c r="C30" s="244" t="n">
        <x:v>46181.5</x:v>
      </x:c>
      <x:c r="D30" s="242" t="str">
        <x:v>Follow-up</x:v>
      </x:c>
      <x:c r="E30" s="248" t="n">
        <x:f>COUNTIF('Activity Log'!$E$6:$E$65,D30)</x:f>
        <x:v>14</x:v>
      </x:c>
      <x:c r="G30" s="242" t="str">
        <x:v>Chat</x:v>
      </x:c>
      <x:c r="H30" s="248" t="n">
        <x:f>COUNTIF('Activity Log'!$D$6:$D$65,G30)</x:f>
        <x:v>11</x:v>
      </x:c>
      <x:c r="J30" s="293"/>
      <x:c r="K30" s="294"/>
      <x:c r="L30" s="295"/>
    </x:row>
    <x:row r="31" ht="23" customHeight="1">
      <x:c r="A31" s="242" t="str">
        <x:f>TEXT(C31,"mmm d")</x:f>
        <x:v>Jun 15</x:v>
      </x:c>
      <x:c r="B31" s="243" t="n">
        <x:f>COUNTIF('Activity Log'!$B$6:$B$65,C31)</x:f>
        <x:v>7</x:v>
      </x:c>
      <x:c r="C31" s="244" t="n">
        <x:v>46188.5</x:v>
      </x:c>
      <x:c r="D31" s="245" t="str">
        <x:v>No change</x:v>
      </x:c>
      <x:c r="E31" s="249" t="n">
        <x:f>COUNTIF('Activity Log'!$E$6:$E$65,D31)</x:f>
        <x:v>7</x:v>
      </x:c>
      <x:c r="G31" s="242" t="str">
        <x:v>Email</x:v>
      </x:c>
      <x:c r="H31" s="248" t="n">
        <x:f>COUNTIF('Activity Log'!$D$6:$D$65,G31)</x:f>
        <x:v>10</x:v>
      </x:c>
      <x:c r="J31" s="293"/>
      <x:c r="K31" s="294"/>
      <x:c r="L31" s="295"/>
    </x:row>
    <x:row r="32" ht="23" customHeight="1">
      <x:c r="A32" s="242" t="str">
        <x:f>TEXT(C32,"mmm d")</x:f>
        <x:v>Jun 22</x:v>
      </x:c>
      <x:c r="B32" s="243" t="n">
        <x:f>COUNTIF('Activity Log'!$B$6:$B$65,C32)</x:f>
        <x:v>8</x:v>
      </x:c>
      <x:c r="C32" s="244" t="n">
        <x:v>46195.5</x:v>
      </x:c>
      <x:c r="G32" s="245" t="str">
        <x:v>In-person</x:v>
      </x:c>
      <x:c r="H32" s="249" t="n">
        <x:f>COUNTIF('Activity Log'!$D$6:$D$65,G32)</x:f>
        <x:v>9</x:v>
      </x:c>
      <x:c r="J32" s="296"/>
      <x:c r="K32" s="297"/>
      <x:c r="L32" s="298"/>
    </x:row>
    <x:row r="33">
      <x:c r="A33" s="242" t="str">
        <x:f>TEXT(C33,"mmm d")</x:f>
        <x:v>Jun 29</x:v>
      </x:c>
      <x:c r="B33" s="243" t="n">
        <x:f>COUNTIF('Activity Log'!$B$6:$B$65,C33)</x:f>
        <x:v>7</x:v>
      </x:c>
      <x:c r="C33" s="244" t="n">
        <x:v>46202.5</x:v>
      </x:c>
    </x:row>
    <x:row r="34">
      <x:c r="A34" s="245" t="str">
        <x:f>TEXT(C34,"mmm d")</x:f>
        <x:v>Jul 6</x:v>
      </x:c>
      <x:c r="B34" s="246" t="n">
        <x:f>COUNTIF('Activity Log'!$B$6:$B$65,C34)</x:f>
        <x:v>9</x:v>
      </x:c>
      <x:c r="C34" s="247" t="n">
        <x:v>46209.5</x:v>
      </x:c>
    </x:row>
  </x:sheetData>
  <x:mergeCells>
    <x:mergeCell ref="A1:L2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G10:L10"/>
    <x:mergeCell ref="A27:H27"/>
    <x:mergeCell ref="J28:L32"/>
  </x:mergeCells>
  <x:pageMargins left="0.7" right="0.7" top="0.75" bottom="0.75" header="0.3" footer="0.3"/>
  <x:drawing xmlns:r="http://schemas.openxmlformats.org/officeDocument/2006/relationships" r:id="Re595b0bf051540e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6" hidden="0" customWidth="1"/>
    <x:col min="4" max="4" width="13" hidden="0" customWidth="1"/>
    <x:col min="5" max="5" width="14" hidden="0" customWidth="1"/>
    <x:col min="6" max="6" width="17" hidden="0" customWidth="1"/>
    <x:col min="7" max="7" width="12" hidden="0" customWidth="1"/>
    <x:col min="8" max="8" width="38" hidden="0" customWidth="1"/>
    <x:col min="9" max="9" width="16" hidden="0" customWidth="1"/>
    <x:col min="10" max="10" width="23" hidden="0" customWidth="1"/>
  </x:cols>
  <x:sheetData>
    <x:row r="1" ht="27" customHeight="1">
      <x:c r="A1" s="4" t="str">
        <x:v>Fictional Sales Activity Log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8" t="str">
        <x:v>Demonstration data only — no real customers, products, targets, revenue, or employee performance information.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5" ht="34" customHeight="1">
      <x:c r="A5" s="20" t="str">
        <x:v>Date</x:v>
      </x:c>
      <x:c r="B5" s="21" t="str">
        <x:v>Week Starting</x:v>
      </x:c>
      <x:c r="C5" s="21" t="str">
        <x:v>Interaction ID</x:v>
      </x:c>
      <x:c r="D5" s="21" t="str">
        <x:v>Channel</x:v>
      </x:c>
      <x:c r="E5" s="21" t="str">
        <x:v>Outcome</x:v>
      </x:c>
      <x:c r="F5" s="21" t="str">
        <x:v>Follow-up Needed</x:v>
      </x:c>
      <x:c r="G5" s="21" t="str">
        <x:v>Status</x:v>
      </x:c>
      <x:c r="H5" s="21" t="str">
        <x:v>Notes</x:v>
      </x:c>
      <x:c r="I5" s="21" t="str">
        <x:v>Duplicate Check</x:v>
      </x:c>
      <x:c r="J5" s="22" t="str">
        <x:v>Completeness Check</x:v>
      </x:c>
    </x:row>
    <x:row r="6" ht="22" customHeight="1">
      <x:c r="A6" s="32" t="n">
        <x:v>46174.5</x:v>
      </x:c>
      <x:c r="B6" s="32" t="n">
        <x:f>IF(A6="","",A6-WEEKDAY(A6,2)+1)</x:f>
        <x:v>46174.5</x:v>
      </x:c>
      <x:c r="C6" s="33" t="str">
        <x:v>DEMO-1000</x:v>
      </x:c>
      <x:c r="D6" s="33" t="str">
        <x:v>Phone</x:v>
      </x:c>
      <x:c r="E6" s="33" t="str">
        <x:v>Completed</x:v>
      </x:c>
      <x:c r="F6" s="33" t="str">
        <x:v>No</x:v>
      </x:c>
      <x:c r="G6" s="33" t="str">
        <x:v>Complete</x:v>
      </x:c>
      <x:c r="H6" s="38" t="str">
        <x:v>Question resolved during the interaction.</x:v>
      </x:c>
      <x:c r="I6" s="41" t="str">
        <x:f>IF(C6="","",IF(COUNTIF($C$6:$C$65,C6)&gt;1,"Review",""))</x:f>
      </x:c>
      <x:c r="J6" s="41" t="str">
        <x:f>IF(AND(A6="",C6="",D6="",E6="",F6="",G6="",H6=""),"",IF(OR(A6="",C6="",D6="",E6=""),"Missing required field",""))</x:f>
      </x:c>
    </x:row>
    <x:row r="7" ht="22" customHeight="1">
      <x:c r="A7" s="34" t="n">
        <x:v>46175.5</x:v>
      </x:c>
      <x:c r="B7" s="34" t="n">
        <x:f>IF(A7="","",A7-WEEKDAY(A7,2)+1)</x:f>
        <x:v>46174.5</x:v>
      </x:c>
      <x:c r="C7" s="35" t="str">
        <x:v>DEMO-1001</x:v>
      </x:c>
      <x:c r="D7" s="35" t="str">
        <x:v>Chat</x:v>
      </x:c>
      <x:c r="E7" s="35" t="str">
        <x:v>Completed</x:v>
      </x:c>
      <x:c r="F7" s="35" t="str">
        <x:v>No</x:v>
      </x:c>
      <x:c r="G7" s="35" t="str">
        <x:v>Complete</x:v>
      </x:c>
      <x:c r="H7" s="39" t="str">
        <x:v>Reviewed available options and next steps.</x:v>
      </x:c>
      <x:c r="I7" s="42" t="str">
        <x:f>IF(C7="","",IF(COUNTIF($C$6:$C$65,C7)&gt;1,"Review",""))</x:f>
      </x:c>
      <x:c r="J7" s="42" t="str">
        <x:f>IF(AND(A7="",C7="",D7="",E7="",F7="",G7="",H7=""),"",IF(OR(A7="",C7="",D7="",E7=""),"Missing required field",""))</x:f>
      </x:c>
    </x:row>
    <x:row r="8" ht="22" customHeight="1">
      <x:c r="A8" s="34" t="n">
        <x:v>46176.5</x:v>
      </x:c>
      <x:c r="B8" s="34" t="n">
        <x:f>IF(A8="","",A8-WEEKDAY(A8,2)+1)</x:f>
        <x:v>46174.5</x:v>
      </x:c>
      <x:c r="C8" s="35" t="str">
        <x:v>DEMO-1002</x:v>
      </x:c>
      <x:c r="D8" s="35" t="str">
        <x:v>Email</x:v>
      </x:c>
      <x:c r="E8" s="35" t="str">
        <x:v>Follow-up</x:v>
      </x:c>
      <x:c r="F8" s="35" t="str">
        <x:v>Yes</x:v>
      </x:c>
      <x:c r="G8" s="35" t="str">
        <x:v>Complete</x:v>
      </x:c>
      <x:c r="H8" s="39" t="str">
        <x:v>Requested a follow-up with additional details.</x:v>
      </x:c>
      <x:c r="I8" s="42" t="str">
        <x:f>IF(C8="","",IF(COUNTIF($C$6:$C$65,C8)&gt;1,"Review",""))</x:f>
      </x:c>
      <x:c r="J8" s="42" t="str">
        <x:f>IF(AND(A8="",C8="",D8="",E8="",F8="",G8="",H8=""),"",IF(OR(A8="",C8="",D8="",E8=""),"Missing required field",""))</x:f>
      </x:c>
    </x:row>
    <x:row r="9" ht="22" customHeight="1">
      <x:c r="A9" s="34" t="n">
        <x:v>46177.5</x:v>
      </x:c>
      <x:c r="B9" s="34" t="n">
        <x:f>IF(A9="","",A9-WEEKDAY(A9,2)+1)</x:f>
        <x:v>46174.5</x:v>
      </x:c>
      <x:c r="C9" s="35" t="str">
        <x:v>DEMO-1003</x:v>
      </x:c>
      <x:c r="D9" s="35" t="str">
        <x:v>In-person</x:v>
      </x:c>
      <x:c r="E9" s="35" t="str">
        <x:v>No change</x:v>
      </x:c>
      <x:c r="F9" s="35" t="str">
        <x:v>No</x:v>
      </x:c>
      <x:c r="G9" s="35" t="str">
        <x:v>Complete</x:v>
      </x:c>
      <x:c r="H9" s="39" t="str">
        <x:v>No additional action was requested.</x:v>
      </x:c>
      <x:c r="I9" s="42" t="str">
        <x:f>IF(C9="","",IF(COUNTIF($C$6:$C$65,C9)&gt;1,"Review",""))</x:f>
      </x:c>
      <x:c r="J9" s="42" t="str">
        <x:f>IF(AND(A9="",C9="",D9="",E9="",F9="",G9="",H9=""),"",IF(OR(A9="",C9="",D9="",E9=""),"Missing required field",""))</x:f>
      </x:c>
    </x:row>
    <x:row r="10" ht="22" customHeight="1">
      <x:c r="A10" s="34" t="n">
        <x:v>46178.5</x:v>
      </x:c>
      <x:c r="B10" s="34" t="n">
        <x:f>IF(A10="","",A10-WEEKDAY(A10,2)+1)</x:f>
        <x:v>46174.5</x:v>
      </x:c>
      <x:c r="C10" s="35" t="str">
        <x:v>DEMO-1004</x:v>
      </x:c>
      <x:c r="D10" s="35" t="str">
        <x:v>Phone</x:v>
      </x:c>
      <x:c r="E10" s="35" t="str">
        <x:v>Completed</x:v>
      </x:c>
      <x:c r="F10" s="35" t="str">
        <x:v>No</x:v>
      </x:c>
      <x:c r="G10" s="35" t="str">
        <x:v>Complete</x:v>
      </x:c>
      <x:c r="H10" s="39" t="str">
        <x:v>Confirmed the information provided.</x:v>
      </x:c>
      <x:c r="I10" s="42" t="str">
        <x:f>IF(C10="","",IF(COUNTIF($C$6:$C$65,C10)&gt;1,"Review",""))</x:f>
      </x:c>
      <x:c r="J10" s="42" t="str">
        <x:f>IF(AND(A10="",C10="",D10="",E10="",F10="",G10="",H10=""),"",IF(OR(A10="",C10="",D10="",E10=""),"Missing required field",""))</x:f>
      </x:c>
    </x:row>
    <x:row r="11" ht="22" customHeight="1">
      <x:c r="A11" s="34" t="n">
        <x:v>46181.5</x:v>
      </x:c>
      <x:c r="B11" s="34" t="n">
        <x:f>IF(A11="","",A11-WEEKDAY(A11,2)+1)</x:f>
        <x:v>46181.5</x:v>
      </x:c>
      <x:c r="C11" s="35" t="str">
        <x:v>DEMO-1005</x:v>
      </x:c>
      <x:c r="D11" s="35" t="str">
        <x:v>Chat</x:v>
      </x:c>
      <x:c r="E11" s="35" t="str">
        <x:v>Follow-up</x:v>
      </x:c>
      <x:c r="F11" s="35" t="str">
        <x:v>Yes</x:v>
      </x:c>
      <x:c r="G11" s="35" t="str">
        <x:v>Complete</x:v>
      </x:c>
      <x:c r="H11" s="39" t="str">
        <x:v>Follow-up reminder added for the next business day.</x:v>
      </x:c>
      <x:c r="I11" s="42" t="str">
        <x:f>IF(C11="","",IF(COUNTIF($C$6:$C$65,C11)&gt;1,"Review",""))</x:f>
      </x:c>
      <x:c r="J11" s="42" t="str">
        <x:f>IF(AND(A11="",C11="",D11="",E11="",F11="",G11="",H11=""),"",IF(OR(A11="",C11="",D11="",E11=""),"Missing required field",""))</x:f>
      </x:c>
    </x:row>
    <x:row r="12" ht="22" customHeight="1">
      <x:c r="A12" s="34" t="n">
        <x:v>46182.5</x:v>
      </x:c>
      <x:c r="B12" s="34" t="n">
        <x:f>IF(A12="","",A12-WEEKDAY(A12,2)+1)</x:f>
        <x:v>46181.5</x:v>
      </x:c>
      <x:c r="C12" s="35" t="str">
        <x:v>DEMO-1006</x:v>
      </x:c>
      <x:c r="D12" s="35" t="str">
        <x:v>Email</x:v>
      </x:c>
      <x:c r="E12" s="35" t="str">
        <x:v>Completed</x:v>
      </x:c>
      <x:c r="F12" s="35" t="str">
        <x:v>No</x:v>
      </x:c>
      <x:c r="G12" s="35" t="str">
        <x:v>Complete</x:v>
      </x:c>
      <x:c r="H12" s="39" t="str">
        <x:v>Question resolved during the interaction.</x:v>
      </x:c>
      <x:c r="I12" s="42" t="str">
        <x:f>IF(C12="","",IF(COUNTIF($C$6:$C$65,C12)&gt;1,"Review",""))</x:f>
      </x:c>
      <x:c r="J12" s="42" t="str">
        <x:f>IF(AND(A12="",C12="",D12="",E12="",F12="",G12="",H12=""),"",IF(OR(A12="",C12="",D12="",E12=""),"Missing required field",""))</x:f>
      </x:c>
    </x:row>
    <x:row r="13" ht="22" customHeight="1">
      <x:c r="A13" s="34" t="n">
        <x:v>46183.5</x:v>
      </x:c>
      <x:c r="B13" s="34" t="n">
        <x:f>IF(A13="","",A13-WEEKDAY(A13,2)+1)</x:f>
        <x:v>46181.5</x:v>
      </x:c>
      <x:c r="C13" s="35" t="str">
        <x:v>DEMO-1007</x:v>
      </x:c>
      <x:c r="D13" s="35" t="str">
        <x:v>In-person</x:v>
      </x:c>
      <x:c r="E13" s="35" t="str">
        <x:v>Completed</x:v>
      </x:c>
      <x:c r="F13" s="35" t="str">
        <x:v>No</x:v>
      </x:c>
      <x:c r="G13" s="35" t="str">
        <x:v>Complete</x:v>
      </x:c>
      <x:c r="H13" s="39" t="str">
        <x:v>Reviewed available options and next steps.</x:v>
      </x:c>
      <x:c r="I13" s="42" t="str">
        <x:f>IF(C13="","",IF(COUNTIF($C$6:$C$65,C13)&gt;1,"Review",""))</x:f>
      </x:c>
      <x:c r="J13" s="42" t="str">
        <x:f>IF(AND(A13="",C13="",D13="",E13="",F13="",G13="",H13=""),"",IF(OR(A13="",C13="",D13="",E13=""),"Missing required field",""))</x:f>
      </x:c>
    </x:row>
    <x:row r="14" ht="22" customHeight="1">
      <x:c r="A14" s="34" t="n">
        <x:v>46184.5</x:v>
      </x:c>
      <x:c r="B14" s="34" t="n">
        <x:f>IF(A14="","",A14-WEEKDAY(A14,2)+1)</x:f>
        <x:v>46181.5</x:v>
      </x:c>
      <x:c r="C14" s="35" t="str">
        <x:v>DEMO-1008</x:v>
      </x:c>
      <x:c r="D14" s="35" t="str">
        <x:v>Phone</x:v>
      </x:c>
      <x:c r="E14" s="35" t="str">
        <x:v>Follow-up</x:v>
      </x:c>
      <x:c r="F14" s="35" t="str">
        <x:v>Yes</x:v>
      </x:c>
      <x:c r="G14" s="35" t="str">
        <x:v>Complete</x:v>
      </x:c>
      <x:c r="H14" s="39" t="str">
        <x:v>Requested a follow-up with additional details.</x:v>
      </x:c>
      <x:c r="I14" s="42" t="str">
        <x:f>IF(C14="","",IF(COUNTIF($C$6:$C$65,C14)&gt;1,"Review",""))</x:f>
      </x:c>
      <x:c r="J14" s="42" t="str">
        <x:f>IF(AND(A14="",C14="",D14="",E14="",F14="",G14="",H14=""),"",IF(OR(A14="",C14="",D14="",E14=""),"Missing required field",""))</x:f>
      </x:c>
    </x:row>
    <x:row r="15" ht="22" customHeight="1">
      <x:c r="A15" s="34" t="n">
        <x:v>46185.5</x:v>
      </x:c>
      <x:c r="B15" s="34" t="n">
        <x:f>IF(A15="","",A15-WEEKDAY(A15,2)+1)</x:f>
        <x:v>46181.5</x:v>
      </x:c>
      <x:c r="C15" s="35" t="str">
        <x:v>DEMO-1009</x:v>
      </x:c>
      <x:c r="D15" s="35" t="str">
        <x:v>Chat</x:v>
      </x:c>
      <x:c r="E15" s="35" t="str">
        <x:v>No change</x:v>
      </x:c>
      <x:c r="F15" s="35" t="str">
        <x:v>No</x:v>
      </x:c>
      <x:c r="G15" s="35" t="str">
        <x:v>Complete</x:v>
      </x:c>
      <x:c r="H15" s="39" t="str">
        <x:v>No additional action was requested.</x:v>
      </x:c>
      <x:c r="I15" s="42" t="str">
        <x:f>IF(C15="","",IF(COUNTIF($C$6:$C$65,C15)&gt;1,"Review",""))</x:f>
      </x:c>
      <x:c r="J15" s="42" t="str">
        <x:f>IF(AND(A15="",C15="",D15="",E15="",F15="",G15="",H15=""),"",IF(OR(A15="",C15="",D15="",E15=""),"Missing required field",""))</x:f>
      </x:c>
    </x:row>
    <x:row r="16" ht="22" customHeight="1">
      <x:c r="A16" s="34" t="n">
        <x:v>46186.5</x:v>
      </x:c>
      <x:c r="B16" s="34" t="n">
        <x:f>IF(A16="","",A16-WEEKDAY(A16,2)+1)</x:f>
        <x:v>46181.5</x:v>
      </x:c>
      <x:c r="C16" s="35" t="str">
        <x:v>DEMO-1010</x:v>
      </x:c>
      <x:c r="D16" s="35" t="str">
        <x:v>Email</x:v>
      </x:c>
      <x:c r="E16" s="35" t="str">
        <x:v>Completed</x:v>
      </x:c>
      <x:c r="F16" s="35" t="str">
        <x:v>No</x:v>
      </x:c>
      <x:c r="G16" s="35" t="str">
        <x:v>Complete</x:v>
      </x:c>
      <x:c r="H16" s="39" t="str">
        <x:v>Confirmed the information provided.</x:v>
      </x:c>
      <x:c r="I16" s="42" t="str">
        <x:f>IF(C16="","",IF(COUNTIF($C$6:$C$65,C16)&gt;1,"Review",""))</x:f>
      </x:c>
      <x:c r="J16" s="42" t="str">
        <x:f>IF(AND(A16="",C16="",D16="",E16="",F16="",G16="",H16=""),"",IF(OR(A16="",C16="",D16="",E16=""),"Missing required field",""))</x:f>
      </x:c>
    </x:row>
    <x:row r="17" ht="22" customHeight="1">
      <x:c r="A17" s="34" t="n">
        <x:v>46188.5</x:v>
      </x:c>
      <x:c r="B17" s="34" t="n">
        <x:f>IF(A17="","",A17-WEEKDAY(A17,2)+1)</x:f>
        <x:v>46188.5</x:v>
      </x:c>
      <x:c r="C17" s="35" t="str">
        <x:v>DEMO-1011</x:v>
      </x:c>
      <x:c r="D17" s="35" t="str">
        <x:v>In-person</x:v>
      </x:c>
      <x:c r="E17" s="35" t="str">
        <x:v>Follow-up</x:v>
      </x:c>
      <x:c r="F17" s="35" t="str">
        <x:v>Yes</x:v>
      </x:c>
      <x:c r="G17" s="35" t="str">
        <x:v>Complete</x:v>
      </x:c>
      <x:c r="H17" s="39" t="str">
        <x:v>Follow-up reminder added for the next business day.</x:v>
      </x:c>
      <x:c r="I17" s="42" t="str">
        <x:f>IF(C17="","",IF(COUNTIF($C$6:$C$65,C17)&gt;1,"Review",""))</x:f>
      </x:c>
      <x:c r="J17" s="42" t="str">
        <x:f>IF(AND(A17="",C17="",D17="",E17="",F17="",G17="",H17=""),"",IF(OR(A17="",C17="",D17="",E17=""),"Missing required field",""))</x:f>
      </x:c>
    </x:row>
    <x:row r="18" ht="22" customHeight="1">
      <x:c r="A18" s="34" t="n">
        <x:v>46189.5</x:v>
      </x:c>
      <x:c r="B18" s="34" t="n">
        <x:f>IF(A18="","",A18-WEEKDAY(A18,2)+1)</x:f>
        <x:v>46188.5</x:v>
      </x:c>
      <x:c r="C18" s="35" t="str">
        <x:v>DEMO-1012</x:v>
      </x:c>
      <x:c r="D18" s="35" t="str">
        <x:v>Phone</x:v>
      </x:c>
      <x:c r="E18" s="35" t="str">
        <x:v>Completed</x:v>
      </x:c>
      <x:c r="F18" s="35" t="str">
        <x:v>No</x:v>
      </x:c>
      <x:c r="G18" s="35" t="str">
        <x:v>Complete</x:v>
      </x:c>
      <x:c r="H18" s="39" t="str">
        <x:v>Question resolved during the interaction.</x:v>
      </x:c>
      <x:c r="I18" s="42" t="str">
        <x:f>IF(C18="","",IF(COUNTIF($C$6:$C$65,C18)&gt;1,"Review",""))</x:f>
      </x:c>
      <x:c r="J18" s="42" t="str">
        <x:f>IF(AND(A18="",C18="",D18="",E18="",F18="",G18="",H18=""),"",IF(OR(A18="",C18="",D18="",E18=""),"Missing required field",""))</x:f>
      </x:c>
    </x:row>
    <x:row r="19" ht="22" customHeight="1">
      <x:c r="A19" s="34" t="n">
        <x:v>46190.5</x:v>
      </x:c>
      <x:c r="B19" s="34" t="n">
        <x:f>IF(A19="","",A19-WEEKDAY(A19,2)+1)</x:f>
        <x:v>46188.5</x:v>
      </x:c>
      <x:c r="C19" s="35" t="str">
        <x:v>DEMO-1013</x:v>
      </x:c>
      <x:c r="D19" s="35" t="str">
        <x:v>Chat</x:v>
      </x:c>
      <x:c r="E19" s="35" t="str">
        <x:v>Completed</x:v>
      </x:c>
      <x:c r="F19" s="35" t="str">
        <x:v>No</x:v>
      </x:c>
      <x:c r="G19" s="35" t="str">
        <x:v>Complete</x:v>
      </x:c>
      <x:c r="H19" s="39" t="str">
        <x:v>Reviewed available options and next steps.</x:v>
      </x:c>
      <x:c r="I19" s="42" t="str">
        <x:f>IF(C19="","",IF(COUNTIF($C$6:$C$65,C19)&gt;1,"Review",""))</x:f>
      </x:c>
      <x:c r="J19" s="42" t="str">
        <x:f>IF(AND(A19="",C19="",D19="",E19="",F19="",G19="",H19=""),"",IF(OR(A19="",C19="",D19="",E19=""),"Missing required field",""))</x:f>
      </x:c>
    </x:row>
    <x:row r="20" ht="22" customHeight="1">
      <x:c r="A20" s="34" t="n">
        <x:v>46191.5</x:v>
      </x:c>
      <x:c r="B20" s="34" t="n">
        <x:f>IF(A20="","",A20-WEEKDAY(A20,2)+1)</x:f>
        <x:v>46188.5</x:v>
      </x:c>
      <x:c r="C20" s="35" t="str">
        <x:v>DEMO-1014</x:v>
      </x:c>
      <x:c r="D20" s="35" t="str">
        <x:v>Email</x:v>
      </x:c>
      <x:c r="E20" s="35" t="str">
        <x:v>Follow-up</x:v>
      </x:c>
      <x:c r="F20" s="35" t="str">
        <x:v>Yes</x:v>
      </x:c>
      <x:c r="G20" s="35" t="str">
        <x:v>Complete</x:v>
      </x:c>
      <x:c r="H20" s="39" t="str">
        <x:v>Requested a follow-up with additional details.</x:v>
      </x:c>
      <x:c r="I20" s="42" t="str">
        <x:f>IF(C20="","",IF(COUNTIF($C$6:$C$65,C20)&gt;1,"Review",""))</x:f>
      </x:c>
      <x:c r="J20" s="42" t="str">
        <x:f>IF(AND(A20="",C20="",D20="",E20="",F20="",G20="",H20=""),"",IF(OR(A20="",C20="",D20="",E20=""),"Missing required field",""))</x:f>
      </x:c>
    </x:row>
    <x:row r="21" ht="22" customHeight="1">
      <x:c r="A21" s="34" t="n">
        <x:v>46192.5</x:v>
      </x:c>
      <x:c r="B21" s="34" t="n">
        <x:f>IF(A21="","",A21-WEEKDAY(A21,2)+1)</x:f>
        <x:v>46188.5</x:v>
      </x:c>
      <x:c r="C21" s="35" t="str">
        <x:v>DEMO-1015</x:v>
      </x:c>
      <x:c r="D21" s="35" t="str">
        <x:v>In-person</x:v>
      </x:c>
      <x:c r="E21" s="35" t="str">
        <x:v>No change</x:v>
      </x:c>
      <x:c r="F21" s="35" t="str">
        <x:v>No</x:v>
      </x:c>
      <x:c r="G21" s="35" t="str">
        <x:v>Complete</x:v>
      </x:c>
      <x:c r="H21" s="39" t="str">
        <x:v>No additional action was requested.</x:v>
      </x:c>
      <x:c r="I21" s="42" t="str">
        <x:f>IF(C21="","",IF(COUNTIF($C$6:$C$65,C21)&gt;1,"Review",""))</x:f>
      </x:c>
      <x:c r="J21" s="42" t="str">
        <x:f>IF(AND(A21="",C21="",D21="",E21="",F21="",G21="",H21=""),"",IF(OR(A21="",C21="",D21="",E21=""),"Missing required field",""))</x:f>
      </x:c>
    </x:row>
    <x:row r="22" ht="22" customHeight="1">
      <x:c r="A22" s="34" t="n">
        <x:v>46193.5</x:v>
      </x:c>
      <x:c r="B22" s="34" t="n">
        <x:f>IF(A22="","",A22-WEEKDAY(A22,2)+1)</x:f>
        <x:v>46188.5</x:v>
      </x:c>
      <x:c r="C22" s="35" t="str">
        <x:v>DEMO-1016</x:v>
      </x:c>
      <x:c r="D22" s="35" t="str">
        <x:v>Phone</x:v>
      </x:c>
      <x:c r="E22" s="35" t="str">
        <x:v>Completed</x:v>
      </x:c>
      <x:c r="F22" s="35" t="str">
        <x:v>No</x:v>
      </x:c>
      <x:c r="G22" s="35" t="str">
        <x:v>Complete</x:v>
      </x:c>
      <x:c r="H22" s="39" t="str">
        <x:v>Confirmed the information provided.</x:v>
      </x:c>
      <x:c r="I22" s="42" t="str">
        <x:f>IF(C22="","",IF(COUNTIF($C$6:$C$65,C22)&gt;1,"Review",""))</x:f>
      </x:c>
      <x:c r="J22" s="42" t="str">
        <x:f>IF(AND(A22="",C22="",D22="",E22="",F22="",G22="",H22=""),"",IF(OR(A22="",C22="",D22="",E22=""),"Missing required field",""))</x:f>
      </x:c>
    </x:row>
    <x:row r="23" ht="22" customHeight="1">
      <x:c r="A23" s="34" t="n">
        <x:v>46194.5</x:v>
      </x:c>
      <x:c r="B23" s="34" t="n">
        <x:f>IF(A23="","",A23-WEEKDAY(A23,2)+1)</x:f>
        <x:v>46188.5</x:v>
      </x:c>
      <x:c r="C23" s="35" t="str">
        <x:v>DEMO-1017</x:v>
      </x:c>
      <x:c r="D23" s="35" t="str">
        <x:v>Chat</x:v>
      </x:c>
      <x:c r="E23" s="35" t="str">
        <x:v>Follow-up</x:v>
      </x:c>
      <x:c r="F23" s="35" t="str">
        <x:v>Yes</x:v>
      </x:c>
      <x:c r="G23" s="35" t="str">
        <x:v>Complete</x:v>
      </x:c>
      <x:c r="H23" s="39" t="str">
        <x:v>Follow-up reminder added for the next business day.</x:v>
      </x:c>
      <x:c r="I23" s="42" t="str">
        <x:f>IF(C23="","",IF(COUNTIF($C$6:$C$65,C23)&gt;1,"Review",""))</x:f>
      </x:c>
      <x:c r="J23" s="42" t="str">
        <x:f>IF(AND(A23="",C23="",D23="",E23="",F23="",G23="",H23=""),"",IF(OR(A23="",C23="",D23="",E23=""),"Missing required field",""))</x:f>
      </x:c>
    </x:row>
    <x:row r="24" ht="22" customHeight="1">
      <x:c r="A24" s="34" t="n">
        <x:v>46195.5</x:v>
      </x:c>
      <x:c r="B24" s="34" t="n">
        <x:f>IF(A24="","",A24-WEEKDAY(A24,2)+1)</x:f>
        <x:v>46195.5</x:v>
      </x:c>
      <x:c r="C24" s="35" t="str">
        <x:v>DEMO-1018</x:v>
      </x:c>
      <x:c r="D24" s="35" t="str">
        <x:v>Email</x:v>
      </x:c>
      <x:c r="E24" s="35" t="str">
        <x:v>Completed</x:v>
      </x:c>
      <x:c r="F24" s="35" t="str">
        <x:v>No</x:v>
      </x:c>
      <x:c r="G24" s="35" t="str">
        <x:v>Complete</x:v>
      </x:c>
      <x:c r="H24" s="39" t="str">
        <x:v>Question resolved during the interaction.</x:v>
      </x:c>
      <x:c r="I24" s="42" t="str">
        <x:f>IF(C24="","",IF(COUNTIF($C$6:$C$65,C24)&gt;1,"Review",""))</x:f>
      </x:c>
      <x:c r="J24" s="42" t="str">
        <x:f>IF(AND(A24="",C24="",D24="",E24="",F24="",G24="",H24=""),"",IF(OR(A24="",C24="",D24="",E24=""),"Missing required field",""))</x:f>
      </x:c>
    </x:row>
    <x:row r="25" ht="22" customHeight="1">
      <x:c r="A25" s="34" t="n">
        <x:v>46196.5</x:v>
      </x:c>
      <x:c r="B25" s="34" t="n">
        <x:f>IF(A25="","",A25-WEEKDAY(A25,2)+1)</x:f>
        <x:v>46195.5</x:v>
      </x:c>
      <x:c r="C25" s="35" t="str">
        <x:v>DEMO-1019</x:v>
      </x:c>
      <x:c r="D25" s="35" t="str">
        <x:v>In-person</x:v>
      </x:c>
      <x:c r="E25" s="35" t="str">
        <x:v>Completed</x:v>
      </x:c>
      <x:c r="F25" s="35" t="str">
        <x:v>No</x:v>
      </x:c>
      <x:c r="G25" s="35" t="str">
        <x:v>Complete</x:v>
      </x:c>
      <x:c r="H25" s="39" t="str">
        <x:v>Reviewed available options and next steps.</x:v>
      </x:c>
      <x:c r="I25" s="42" t="str">
        <x:f>IF(C25="","",IF(COUNTIF($C$6:$C$65,C25)&gt;1,"Review",""))</x:f>
      </x:c>
      <x:c r="J25" s="42" t="str">
        <x:f>IF(AND(A25="",C25="",D25="",E25="",F25="",G25="",H25=""),"",IF(OR(A25="",C25="",D25="",E25=""),"Missing required field",""))</x:f>
      </x:c>
    </x:row>
    <x:row r="26" ht="22" customHeight="1">
      <x:c r="A26" s="34" t="n">
        <x:v>46197.5</x:v>
      </x:c>
      <x:c r="B26" s="34" t="n">
        <x:f>IF(A26="","",A26-WEEKDAY(A26,2)+1)</x:f>
        <x:v>46195.5</x:v>
      </x:c>
      <x:c r="C26" s="35" t="str">
        <x:v>DEMO-1020</x:v>
      </x:c>
      <x:c r="D26" s="35" t="str">
        <x:v>Phone</x:v>
      </x:c>
      <x:c r="E26" s="35" t="str">
        <x:v>Follow-up</x:v>
      </x:c>
      <x:c r="F26" s="35" t="str">
        <x:v>Yes</x:v>
      </x:c>
      <x:c r="G26" s="35" t="str">
        <x:v>Complete</x:v>
      </x:c>
      <x:c r="H26" s="39" t="str">
        <x:v>Requested a follow-up with additional details.</x:v>
      </x:c>
      <x:c r="I26" s="42" t="str">
        <x:f>IF(C26="","",IF(COUNTIF($C$6:$C$65,C26)&gt;1,"Review",""))</x:f>
      </x:c>
      <x:c r="J26" s="42" t="str">
        <x:f>IF(AND(A26="",C26="",D26="",E26="",F26="",G26="",H26=""),"",IF(OR(A26="",C26="",D26="",E26=""),"Missing required field",""))</x:f>
      </x:c>
    </x:row>
    <x:row r="27" ht="22" customHeight="1">
      <x:c r="A27" s="34" t="n">
        <x:v>46198.5</x:v>
      </x:c>
      <x:c r="B27" s="34" t="n">
        <x:f>IF(A27="","",A27-WEEKDAY(A27,2)+1)</x:f>
        <x:v>46195.5</x:v>
      </x:c>
      <x:c r="C27" s="35" t="str">
        <x:v>DEMO-1021</x:v>
      </x:c>
      <x:c r="D27" s="35" t="str">
        <x:v>Chat</x:v>
      </x:c>
      <x:c r="E27" s="35" t="str">
        <x:v>No change</x:v>
      </x:c>
      <x:c r="F27" s="35" t="str">
        <x:v>No</x:v>
      </x:c>
      <x:c r="G27" s="35" t="str">
        <x:v>Complete</x:v>
      </x:c>
      <x:c r="H27" s="39" t="str">
        <x:v>No additional action was requested.</x:v>
      </x:c>
      <x:c r="I27" s="42" t="str">
        <x:f>IF(C27="","",IF(COUNTIF($C$6:$C$65,C27)&gt;1,"Review",""))</x:f>
      </x:c>
      <x:c r="J27" s="42" t="str">
        <x:f>IF(AND(A27="",C27="",D27="",E27="",F27="",G27="",H27=""),"",IF(OR(A27="",C27="",D27="",E27=""),"Missing required field",""))</x:f>
      </x:c>
    </x:row>
    <x:row r="28" ht="22" customHeight="1">
      <x:c r="A28" s="34" t="n">
        <x:v>46199.5</x:v>
      </x:c>
      <x:c r="B28" s="34" t="n">
        <x:f>IF(A28="","",A28-WEEKDAY(A28,2)+1)</x:f>
        <x:v>46195.5</x:v>
      </x:c>
      <x:c r="C28" s="35" t="str">
        <x:v>DEMO-1022</x:v>
      </x:c>
      <x:c r="D28" s="35" t="str">
        <x:v>Email</x:v>
      </x:c>
      <x:c r="E28" s="35" t="str">
        <x:v>Completed</x:v>
      </x:c>
      <x:c r="F28" s="35" t="str">
        <x:v>No</x:v>
      </x:c>
      <x:c r="G28" s="35" t="str">
        <x:v>Complete</x:v>
      </x:c>
      <x:c r="H28" s="39" t="str">
        <x:v>Confirmed the information provided.</x:v>
      </x:c>
      <x:c r="I28" s="42" t="str">
        <x:f>IF(C28="","",IF(COUNTIF($C$6:$C$65,C28)&gt;1,"Review",""))</x:f>
      </x:c>
      <x:c r="J28" s="42" t="str">
        <x:f>IF(AND(A28="",C28="",D28="",E28="",F28="",G28="",H28=""),"",IF(OR(A28="",C28="",D28="",E28=""),"Missing required field",""))</x:f>
      </x:c>
    </x:row>
    <x:row r="29" ht="22" customHeight="1">
      <x:c r="A29" s="34" t="n">
        <x:v>46200.5</x:v>
      </x:c>
      <x:c r="B29" s="34" t="n">
        <x:f>IF(A29="","",A29-WEEKDAY(A29,2)+1)</x:f>
        <x:v>46195.5</x:v>
      </x:c>
      <x:c r="C29" s="35" t="str">
        <x:v>DEMO-1023</x:v>
      </x:c>
      <x:c r="D29" s="35" t="str">
        <x:v>In-person</x:v>
      </x:c>
      <x:c r="E29" s="35" t="str">
        <x:v>Follow-up</x:v>
      </x:c>
      <x:c r="F29" s="35" t="str">
        <x:v>Yes</x:v>
      </x:c>
      <x:c r="G29" s="35" t="str">
        <x:v>Complete</x:v>
      </x:c>
      <x:c r="H29" s="39" t="str">
        <x:v>Follow-up reminder added for the next business day.</x:v>
      </x:c>
      <x:c r="I29" s="42" t="str">
        <x:f>IF(C29="","",IF(COUNTIF($C$6:$C$65,C29)&gt;1,"Review",""))</x:f>
      </x:c>
      <x:c r="J29" s="42" t="str">
        <x:f>IF(AND(A29="",C29="",D29="",E29="",F29="",G29="",H29=""),"",IF(OR(A29="",C29="",D29="",E29=""),"Missing required field",""))</x:f>
      </x:c>
    </x:row>
    <x:row r="30" ht="22" customHeight="1">
      <x:c r="A30" s="34" t="n">
        <x:v>46201.5</x:v>
      </x:c>
      <x:c r="B30" s="34" t="n">
        <x:f>IF(A30="","",A30-WEEKDAY(A30,2)+1)</x:f>
        <x:v>46195.5</x:v>
      </x:c>
      <x:c r="C30" s="35" t="str">
        <x:v>DEMO-1024</x:v>
      </x:c>
      <x:c r="D30" s="35" t="str">
        <x:v>Phone</x:v>
      </x:c>
      <x:c r="E30" s="35" t="str">
        <x:v>Completed</x:v>
      </x:c>
      <x:c r="F30" s="35" t="str">
        <x:v>No</x:v>
      </x:c>
      <x:c r="G30" s="35" t="str">
        <x:v>Complete</x:v>
      </x:c>
      <x:c r="H30" s="39" t="str">
        <x:v>Question resolved during the interaction.</x:v>
      </x:c>
      <x:c r="I30" s="42" t="str">
        <x:f>IF(C30="","",IF(COUNTIF($C$6:$C$65,C30)&gt;1,"Review",""))</x:f>
      </x:c>
      <x:c r="J30" s="42" t="str">
        <x:f>IF(AND(A30="",C30="",D30="",E30="",F30="",G30="",H30=""),"",IF(OR(A30="",C30="",D30="",E30=""),"Missing required field",""))</x:f>
      </x:c>
    </x:row>
    <x:row r="31" ht="22" customHeight="1">
      <x:c r="A31" s="34" t="n">
        <x:v>46195.5</x:v>
      </x:c>
      <x:c r="B31" s="34" t="n">
        <x:f>IF(A31="","",A31-WEEKDAY(A31,2)+1)</x:f>
        <x:v>46195.5</x:v>
      </x:c>
      <x:c r="C31" s="35" t="str">
        <x:v>DEMO-1025</x:v>
      </x:c>
      <x:c r="D31" s="35" t="str">
        <x:v>Chat</x:v>
      </x:c>
      <x:c r="E31" s="35" t="str">
        <x:v>Completed</x:v>
      </x:c>
      <x:c r="F31" s="35" t="str">
        <x:v>No</x:v>
      </x:c>
      <x:c r="G31" s="35" t="str">
        <x:v>Complete</x:v>
      </x:c>
      <x:c r="H31" s="39" t="str">
        <x:v>Reviewed available options and next steps.</x:v>
      </x:c>
      <x:c r="I31" s="42" t="str">
        <x:f>IF(C31="","",IF(COUNTIF($C$6:$C$65,C31)&gt;1,"Review",""))</x:f>
        <x:v>Review</x:v>
      </x:c>
      <x:c r="J31" s="42" t="str">
        <x:f>IF(AND(A31="",C31="",D31="",E31="",F31="",G31="",H31=""),"",IF(OR(A31="",C31="",D31="",E31=""),"Missing required field",""))</x:f>
      </x:c>
    </x:row>
    <x:row r="32" ht="22" customHeight="1">
      <x:c r="A32" s="34" t="n">
        <x:v>46202.5</x:v>
      </x:c>
      <x:c r="B32" s="34" t="n">
        <x:f>IF(A32="","",A32-WEEKDAY(A32,2)+1)</x:f>
        <x:v>46202.5</x:v>
      </x:c>
      <x:c r="C32" s="35" t="str">
        <x:v>DEMO-1025</x:v>
      </x:c>
      <x:c r="D32" s="35" t="str">
        <x:v>Email</x:v>
      </x:c>
      <x:c r="E32" s="35" t="str">
        <x:v>Follow-up</x:v>
      </x:c>
      <x:c r="F32" s="35" t="str">
        <x:v>Yes</x:v>
      </x:c>
      <x:c r="G32" s="35" t="str">
        <x:v>Complete</x:v>
      </x:c>
      <x:c r="H32" s="39" t="str">
        <x:v>Requested a follow-up with additional details.</x:v>
      </x:c>
      <x:c r="I32" s="42" t="str">
        <x:f>IF(C32="","",IF(COUNTIF($C$6:$C$65,C32)&gt;1,"Review",""))</x:f>
        <x:v>Review</x:v>
      </x:c>
      <x:c r="J32" s="42" t="str">
        <x:f>IF(AND(A32="",C32="",D32="",E32="",F32="",G32="",H32=""),"",IF(OR(A32="",C32="",D32="",E32=""),"Missing required field",""))</x:f>
      </x:c>
    </x:row>
    <x:row r="33" ht="22" customHeight="1">
      <x:c r="A33" s="34" t="n">
        <x:v>46203.5</x:v>
      </x:c>
      <x:c r="B33" s="34" t="n">
        <x:f>IF(A33="","",A33-WEEKDAY(A33,2)+1)</x:f>
        <x:v>46202.5</x:v>
      </x:c>
      <x:c r="C33" s="35" t="str">
        <x:v>DEMO-1027</x:v>
      </x:c>
      <x:c r="D33" s="35" t="str">
        <x:v>In-person</x:v>
      </x:c>
      <x:c r="E33" s="35" t="str">
        <x:v>No change</x:v>
      </x:c>
      <x:c r="F33" s="35" t="str">
        <x:v>No</x:v>
      </x:c>
      <x:c r="G33" s="35" t="str">
        <x:v>Complete</x:v>
      </x:c>
      <x:c r="H33" s="39" t="str">
        <x:v>No additional action was requested.</x:v>
      </x:c>
      <x:c r="I33" s="42" t="str">
        <x:f>IF(C33="","",IF(COUNTIF($C$6:$C$65,C33)&gt;1,"Review",""))</x:f>
      </x:c>
      <x:c r="J33" s="42" t="str">
        <x:f>IF(AND(A33="",C33="",D33="",E33="",F33="",G33="",H33=""),"",IF(OR(A33="",C33="",D33="",E33=""),"Missing required field",""))</x:f>
      </x:c>
    </x:row>
    <x:row r="34" ht="22" customHeight="1">
      <x:c r="A34" s="34" t="n">
        <x:v>46204.5</x:v>
      </x:c>
      <x:c r="B34" s="34" t="n">
        <x:f>IF(A34="","",A34-WEEKDAY(A34,2)+1)</x:f>
        <x:v>46202.5</x:v>
      </x:c>
      <x:c r="C34" s="35" t="str">
        <x:v>DEMO-1028</x:v>
      </x:c>
      <x:c r="D34" s="35" t="str">
        <x:v>Phone</x:v>
      </x:c>
      <x:c r="E34" s="35" t="str">
        <x:v>Completed</x:v>
      </x:c>
      <x:c r="F34" s="35" t="str">
        <x:v>No</x:v>
      </x:c>
      <x:c r="G34" s="35" t="str">
        <x:v>Complete</x:v>
      </x:c>
      <x:c r="H34" s="39" t="str">
        <x:v>Confirmed the information provided.</x:v>
      </x:c>
      <x:c r="I34" s="42" t="str">
        <x:f>IF(C34="","",IF(COUNTIF($C$6:$C$65,C34)&gt;1,"Review",""))</x:f>
      </x:c>
      <x:c r="J34" s="42" t="str">
        <x:f>IF(AND(A34="",C34="",D34="",E34="",F34="",G34="",H34=""),"",IF(OR(A34="",C34="",D34="",E34=""),"Missing required field",""))</x:f>
      </x:c>
    </x:row>
    <x:row r="35" ht="22" customHeight="1">
      <x:c r="A35" s="34" t="n">
        <x:v>46205.5</x:v>
      </x:c>
      <x:c r="B35" s="34" t="n">
        <x:f>IF(A35="","",A35-WEEKDAY(A35,2)+1)</x:f>
        <x:v>46202.5</x:v>
      </x:c>
      <x:c r="C35" s="35" t="str">
        <x:v>DEMO-1029</x:v>
      </x:c>
      <x:c r="D35" s="35" t="str">
        <x:v>Chat</x:v>
      </x:c>
      <x:c r="E35" s="35" t="str">
        <x:v>Follow-up</x:v>
      </x:c>
      <x:c r="F35" s="35" t="str">
        <x:v>Yes</x:v>
      </x:c>
      <x:c r="G35" s="35" t="str">
        <x:v>Complete</x:v>
      </x:c>
      <x:c r="H35" s="39" t="str">
        <x:v>Follow-up reminder added for the next business day.</x:v>
      </x:c>
      <x:c r="I35" s="42" t="str">
        <x:f>IF(C35="","",IF(COUNTIF($C$6:$C$65,C35)&gt;1,"Review",""))</x:f>
      </x:c>
      <x:c r="J35" s="42" t="str">
        <x:f>IF(AND(A35="",C35="",D35="",E35="",F35="",G35="",H35=""),"",IF(OR(A35="",C35="",D35="",E35=""),"Missing required field",""))</x:f>
      </x:c>
    </x:row>
    <x:row r="36" ht="22" customHeight="1">
      <x:c r="A36" s="34" t="n">
        <x:v>46206.5</x:v>
      </x:c>
      <x:c r="B36" s="34" t="n">
        <x:f>IF(A36="","",A36-WEEKDAY(A36,2)+1)</x:f>
        <x:v>46202.5</x:v>
      </x:c>
      <x:c r="C36" s="35" t="str">
        <x:v>DEMO-1030</x:v>
      </x:c>
      <x:c r="D36" s="35" t="str">
        <x:v>Email</x:v>
      </x:c>
      <x:c r="E36" s="35" t="str">
        <x:v>Completed</x:v>
      </x:c>
      <x:c r="F36" s="35" t="str">
        <x:v>No</x:v>
      </x:c>
      <x:c r="G36" s="35" t="str">
        <x:v>Complete</x:v>
      </x:c>
      <x:c r="H36" s="39" t="str">
        <x:v>Question resolved during the interaction.</x:v>
      </x:c>
      <x:c r="I36" s="42" t="str">
        <x:f>IF(C36="","",IF(COUNTIF($C$6:$C$65,C36)&gt;1,"Review",""))</x:f>
      </x:c>
      <x:c r="J36" s="42" t="str">
        <x:f>IF(AND(A36="",C36="",D36="",E36="",F36="",G36="",H36=""),"",IF(OR(A36="",C36="",D36="",E36=""),"Missing required field",""))</x:f>
      </x:c>
    </x:row>
    <x:row r="37" ht="22" customHeight="1">
      <x:c r="A37" s="34" t="n">
        <x:v>46207.5</x:v>
      </x:c>
      <x:c r="B37" s="34" t="n">
        <x:f>IF(A37="","",A37-WEEKDAY(A37,2)+1)</x:f>
        <x:v>46202.5</x:v>
      </x:c>
      <x:c r="C37" s="35" t="str">
        <x:v>DEMO-1031</x:v>
      </x:c>
      <x:c r="D37" s="35" t="str">
        <x:v>In-person</x:v>
      </x:c>
      <x:c r="E37" s="35" t="str">
        <x:v>Completed</x:v>
      </x:c>
      <x:c r="F37" s="35" t="str">
        <x:v>No</x:v>
      </x:c>
      <x:c r="G37" s="35" t="str">
        <x:v>Complete</x:v>
      </x:c>
      <x:c r="H37" s="39" t="str">
        <x:v>Reviewed available options and next steps.</x:v>
      </x:c>
      <x:c r="I37" s="42" t="str">
        <x:f>IF(C37="","",IF(COUNTIF($C$6:$C$65,C37)&gt;1,"Review",""))</x:f>
      </x:c>
      <x:c r="J37" s="42" t="str">
        <x:f>IF(AND(A37="",C37="",D37="",E37="",F37="",G37="",H37=""),"",IF(OR(A37="",C37="",D37="",E37=""),"Missing required field",""))</x:f>
      </x:c>
    </x:row>
    <x:row r="38" ht="22" customHeight="1">
      <x:c r="A38" s="34" t="n">
        <x:v>46208.5</x:v>
      </x:c>
      <x:c r="B38" s="34" t="n">
        <x:f>IF(A38="","",A38-WEEKDAY(A38,2)+1)</x:f>
        <x:v>46202.5</x:v>
      </x:c>
      <x:c r="C38" s="35" t="str">
        <x:v>DEMO-1032</x:v>
      </x:c>
      <x:c r="D38" s="35" t="str">
        <x:v>Phone</x:v>
      </x:c>
      <x:c r="E38" s="35" t="str">
        <x:v>Follow-up</x:v>
      </x:c>
      <x:c r="F38" s="35" t="str">
        <x:v>Yes</x:v>
      </x:c>
      <x:c r="G38" s="35" t="str">
        <x:v>Complete</x:v>
      </x:c>
      <x:c r="H38" s="39" t="str">
        <x:v>Requested a follow-up with additional details.</x:v>
      </x:c>
      <x:c r="I38" s="42" t="str">
        <x:f>IF(C38="","",IF(COUNTIF($C$6:$C$65,C38)&gt;1,"Review",""))</x:f>
      </x:c>
      <x:c r="J38" s="42" t="str">
        <x:f>IF(AND(A38="",C38="",D38="",E38="",F38="",G38="",H38=""),"",IF(OR(A38="",C38="",D38="",E38=""),"Missing required field",""))</x:f>
      </x:c>
    </x:row>
    <x:row r="39" ht="22" customHeight="1">
      <x:c r="A39" s="34" t="n">
        <x:v>46209.5</x:v>
      </x:c>
      <x:c r="B39" s="34" t="n">
        <x:f>IF(A39="","",A39-WEEKDAY(A39,2)+1)</x:f>
        <x:v>46209.5</x:v>
      </x:c>
      <x:c r="C39" s="35" t="str">
        <x:v>DEMO-1033</x:v>
      </x:c>
      <x:c r="D39" s="35" t="str">
        <x:v>Chat</x:v>
      </x:c>
      <x:c r="E39" s="35" t="str">
        <x:v>No change</x:v>
      </x:c>
      <x:c r="F39" s="35" t="str">
        <x:v>No</x:v>
      </x:c>
      <x:c r="G39" s="35" t="str">
        <x:v>Complete</x:v>
      </x:c>
      <x:c r="H39" s="39" t="str">
        <x:v>No additional action was requested.</x:v>
      </x:c>
      <x:c r="I39" s="42" t="str">
        <x:f>IF(C39="","",IF(COUNTIF($C$6:$C$65,C39)&gt;1,"Review",""))</x:f>
      </x:c>
      <x:c r="J39" s="42" t="str">
        <x:f>IF(AND(A39="",C39="",D39="",E39="",F39="",G39="",H39=""),"",IF(OR(A39="",C39="",D39="",E39=""),"Missing required field",""))</x:f>
      </x:c>
    </x:row>
    <x:row r="40" ht="22" customHeight="1">
      <x:c r="A40" s="34" t="n">
        <x:v>46210.5</x:v>
      </x:c>
      <x:c r="B40" s="34" t="n">
        <x:f>IF(A40="","",A40-WEEKDAY(A40,2)+1)</x:f>
        <x:v>46209.5</x:v>
      </x:c>
      <x:c r="C40" s="35" t="str">
        <x:v>DEMO-1034</x:v>
      </x:c>
      <x:c r="D40" s="35" t="str">
        <x:v>Email</x:v>
      </x:c>
      <x:c r="E40" s="35" t="str">
        <x:v>Completed</x:v>
      </x:c>
      <x:c r="F40" s="35" t="str">
        <x:v>No</x:v>
      </x:c>
      <x:c r="G40" s="35" t="str">
        <x:v>Complete</x:v>
      </x:c>
      <x:c r="H40" s="39" t="str">
        <x:v>Confirmed the information provided.</x:v>
      </x:c>
      <x:c r="I40" s="42" t="str">
        <x:f>IF(C40="","",IF(COUNTIF($C$6:$C$65,C40)&gt;1,"Review",""))</x:f>
      </x:c>
      <x:c r="J40" s="42" t="str">
        <x:f>IF(AND(A40="",C40="",D40="",E40="",F40="",G40="",H40=""),"",IF(OR(A40="",C40="",D40="",E40=""),"Missing required field",""))</x:f>
      </x:c>
    </x:row>
    <x:row r="41" ht="22" customHeight="1">
      <x:c r="A41" s="34" t="n">
        <x:v>46211.5</x:v>
      </x:c>
      <x:c r="B41" s="34" t="n">
        <x:f>IF(A41="","",A41-WEEKDAY(A41,2)+1)</x:f>
        <x:v>46209.5</x:v>
      </x:c>
      <x:c r="C41" s="35" t="str">
        <x:v>DEMO-1035</x:v>
      </x:c>
      <x:c r="D41" s="35" t="str"/>
      <x:c r="E41" s="35" t="str">
        <x:v>Follow-up</x:v>
      </x:c>
      <x:c r="F41" s="35" t="str">
        <x:v>Yes</x:v>
      </x:c>
      <x:c r="G41" s="35" t="str">
        <x:v>Complete</x:v>
      </x:c>
      <x:c r="H41" s="39" t="str">
        <x:v>Follow-up reminder added for the next business day.</x:v>
      </x:c>
      <x:c r="I41" s="42" t="str">
        <x:f>IF(C41="","",IF(COUNTIF($C$6:$C$65,C41)&gt;1,"Review",""))</x:f>
      </x:c>
      <x:c r="J41" s="42" t="str">
        <x:f>IF(AND(A41="",C41="",D41="",E41="",F41="",G41="",H41=""),"",IF(OR(A41="",C41="",D41="",E41=""),"Missing required field",""))</x:f>
        <x:v>Missing required field</x:v>
      </x:c>
    </x:row>
    <x:row r="42" ht="22" customHeight="1">
      <x:c r="A42" s="34" t="n">
        <x:v>46212.5</x:v>
      </x:c>
      <x:c r="B42" s="34" t="n">
        <x:f>IF(A42="","",A42-WEEKDAY(A42,2)+1)</x:f>
        <x:v>46209.5</x:v>
      </x:c>
      <x:c r="C42" s="35" t="str">
        <x:v>DEMO-1036</x:v>
      </x:c>
      <x:c r="D42" s="35" t="str">
        <x:v>Phone</x:v>
      </x:c>
      <x:c r="E42" s="35" t="str">
        <x:v>Completed</x:v>
      </x:c>
      <x:c r="F42" s="35" t="str">
        <x:v>No</x:v>
      </x:c>
      <x:c r="G42" s="35" t="str">
        <x:v>Complete</x:v>
      </x:c>
      <x:c r="H42" s="39" t="str">
        <x:v>Question resolved during the interaction.</x:v>
      </x:c>
      <x:c r="I42" s="42" t="str">
        <x:f>IF(C42="","",IF(COUNTIF($C$6:$C$65,C42)&gt;1,"Review",""))</x:f>
      </x:c>
      <x:c r="J42" s="42" t="str">
        <x:f>IF(AND(A42="",C42="",D42="",E42="",F42="",G42="",H42=""),"",IF(OR(A42="",C42="",D42="",E42=""),"Missing required field",""))</x:f>
      </x:c>
    </x:row>
    <x:row r="43" ht="22" customHeight="1">
      <x:c r="A43" s="34" t="n">
        <x:v>46213.5</x:v>
      </x:c>
      <x:c r="B43" s="34" t="n">
        <x:f>IF(A43="","",A43-WEEKDAY(A43,2)+1)</x:f>
        <x:v>46209.5</x:v>
      </x:c>
      <x:c r="C43" s="35" t="str">
        <x:v>DEMO-1037</x:v>
      </x:c>
      <x:c r="D43" s="35" t="str">
        <x:v>Chat</x:v>
      </x:c>
      <x:c r="E43" s="35" t="str">
        <x:v>Completed</x:v>
      </x:c>
      <x:c r="F43" s="35" t="str">
        <x:v>No</x:v>
      </x:c>
      <x:c r="G43" s="35" t="str">
        <x:v>Complete</x:v>
      </x:c>
      <x:c r="H43" s="39" t="str">
        <x:v>Reviewed available options and next steps.</x:v>
      </x:c>
      <x:c r="I43" s="42" t="str">
        <x:f>IF(C43="","",IF(COUNTIF($C$6:$C$65,C43)&gt;1,"Review",""))</x:f>
      </x:c>
      <x:c r="J43" s="42" t="str">
        <x:f>IF(AND(A43="",C43="",D43="",E43="",F43="",G43="",H43=""),"",IF(OR(A43="",C43="",D43="",E43=""),"Missing required field",""))</x:f>
      </x:c>
    </x:row>
    <x:row r="44" ht="22" customHeight="1">
      <x:c r="A44" s="34" t="n">
        <x:v>46214.5</x:v>
      </x:c>
      <x:c r="B44" s="34" t="n">
        <x:f>IF(A44="","",A44-WEEKDAY(A44,2)+1)</x:f>
        <x:v>46209.5</x:v>
      </x:c>
      <x:c r="C44" s="35" t="str">
        <x:v>DEMO-1038</x:v>
      </x:c>
      <x:c r="D44" s="35" t="str">
        <x:v>Email</x:v>
      </x:c>
      <x:c r="E44" s="35" t="str">
        <x:v>Follow-up</x:v>
      </x:c>
      <x:c r="F44" s="35" t="str">
        <x:v>Yes</x:v>
      </x:c>
      <x:c r="G44" s="35" t="str">
        <x:v>Complete</x:v>
      </x:c>
      <x:c r="H44" s="39" t="str">
        <x:v>Requested a follow-up with additional details.</x:v>
      </x:c>
      <x:c r="I44" s="42" t="str">
        <x:f>IF(C44="","",IF(COUNTIF($C$6:$C$65,C44)&gt;1,"Review",""))</x:f>
      </x:c>
      <x:c r="J44" s="42" t="str">
        <x:f>IF(AND(A44="",C44="",D44="",E44="",F44="",G44="",H44=""),"",IF(OR(A44="",C44="",D44="",E44=""),"Missing required field",""))</x:f>
      </x:c>
    </x:row>
    <x:row r="45" ht="22" customHeight="1">
      <x:c r="A45" s="34" t="n">
        <x:v>46215.5</x:v>
      </x:c>
      <x:c r="B45" s="34" t="n">
        <x:f>IF(A45="","",A45-WEEKDAY(A45,2)+1)</x:f>
        <x:v>46209.5</x:v>
      </x:c>
      <x:c r="C45" s="35" t="str">
        <x:v>DEMO-1039</x:v>
      </x:c>
      <x:c r="D45" s="35" t="str">
        <x:v>In-person</x:v>
      </x:c>
      <x:c r="E45" s="35" t="str">
        <x:v>No change</x:v>
      </x:c>
      <x:c r="F45" s="35" t="str">
        <x:v>No</x:v>
      </x:c>
      <x:c r="G45" s="35" t="str">
        <x:v>Complete</x:v>
      </x:c>
      <x:c r="H45" s="39" t="str">
        <x:v>No additional action was requested.</x:v>
      </x:c>
      <x:c r="I45" s="42" t="str">
        <x:f>IF(C45="","",IF(COUNTIF($C$6:$C$65,C45)&gt;1,"Review",""))</x:f>
      </x:c>
      <x:c r="J45" s="42" t="str">
        <x:f>IF(AND(A45="",C45="",D45="",E45="",F45="",G45="",H45=""),"",IF(OR(A45="",C45="",D45="",E45=""),"Missing required field",""))</x:f>
      </x:c>
    </x:row>
    <x:row r="46" ht="22" customHeight="1">
      <x:c r="A46" s="34" t="n">
        <x:v>46209.5</x:v>
      </x:c>
      <x:c r="B46" s="34" t="n">
        <x:f>IF(A46="","",A46-WEEKDAY(A46,2)+1)</x:f>
        <x:v>46209.5</x:v>
      </x:c>
      <x:c r="C46" s="35" t="str">
        <x:v>DEMO-1040</x:v>
      </x:c>
      <x:c r="D46" s="35" t="str">
        <x:v>Phone</x:v>
      </x:c>
      <x:c r="E46" s="35" t="str">
        <x:v>Completed</x:v>
      </x:c>
      <x:c r="F46" s="35" t="str">
        <x:v>No</x:v>
      </x:c>
      <x:c r="G46" s="35" t="str">
        <x:v>Complete</x:v>
      </x:c>
      <x:c r="H46" s="39" t="str">
        <x:v>Confirmed the information provided.</x:v>
      </x:c>
      <x:c r="I46" s="42" t="str">
        <x:f>IF(C46="","",IF(COUNTIF($C$6:$C$65,C46)&gt;1,"Review",""))</x:f>
      </x:c>
      <x:c r="J46" s="42" t="str">
        <x:f>IF(AND(A46="",C46="",D46="",E46="",F46="",G46="",H46=""),"",IF(OR(A46="",C46="",D46="",E46=""),"Missing required field",""))</x:f>
      </x:c>
    </x:row>
    <x:row r="47" ht="22" customHeight="1">
      <x:c r="A47" s="34" t="n">
        <x:v>46210.5</x:v>
      </x:c>
      <x:c r="B47" s="34" t="n">
        <x:f>IF(A47="","",A47-WEEKDAY(A47,2)+1)</x:f>
        <x:v>46209.5</x:v>
      </x:c>
      <x:c r="C47" s="35" t="str">
        <x:v>DEMO-1041</x:v>
      </x:c>
      <x:c r="D47" s="35" t="str">
        <x:v>Chat</x:v>
      </x:c>
      <x:c r="E47" s="35" t="str">
        <x:v>Follow-up</x:v>
      </x:c>
      <x:c r="F47" s="35" t="str">
        <x:v>Yes</x:v>
      </x:c>
      <x:c r="G47" s="35" t="str">
        <x:v>Complete</x:v>
      </x:c>
      <x:c r="H47" s="39" t="str">
        <x:v>Follow-up reminder added for the next business day.</x:v>
      </x:c>
      <x:c r="I47" s="42" t="str">
        <x:f>IF(C47="","",IF(COUNTIF($C$6:$C$65,C47)&gt;1,"Review",""))</x:f>
      </x:c>
      <x:c r="J47" s="42" t="str">
        <x:f>IF(AND(A47="",C47="",D47="",E47="",F47="",G47="",H47=""),"",IF(OR(A47="",C47="",D47="",E47=""),"Missing required field",""))</x:f>
      </x:c>
    </x:row>
    <x:row r="48" ht="22" customHeight="1">
      <x:c r="A48" s="34"/>
      <x:c r="B48" s="34" t="str">
        <x:f>IF(A48="","",A48-WEEKDAY(A48,2)+1)</x:f>
      </x:c>
      <x:c r="C48" s="35"/>
      <x:c r="D48" s="35"/>
      <x:c r="E48" s="35"/>
      <x:c r="F48" s="35"/>
      <x:c r="G48" s="35"/>
      <x:c r="H48" s="39"/>
      <x:c r="I48" s="42" t="str">
        <x:f>IF(C48="","",IF(COUNTIF($C$6:$C$65,C48)&gt;1,"Review",""))</x:f>
      </x:c>
      <x:c r="J48" s="42" t="str">
        <x:f>IF(AND(A48="",C48="",D48="",E48="",F48="",G48="",H48=""),"",IF(OR(A48="",C48="",D48="",E48=""),"Missing required field",""))</x:f>
      </x:c>
    </x:row>
    <x:row r="49" ht="22" customHeight="1">
      <x:c r="A49" s="34"/>
      <x:c r="B49" s="34" t="str">
        <x:f>IF(A49="","",A49-WEEKDAY(A49,2)+1)</x:f>
      </x:c>
      <x:c r="C49" s="35"/>
      <x:c r="D49" s="35"/>
      <x:c r="E49" s="35"/>
      <x:c r="F49" s="35"/>
      <x:c r="G49" s="35"/>
      <x:c r="H49" s="39"/>
      <x:c r="I49" s="42" t="str">
        <x:f>IF(C49="","",IF(COUNTIF($C$6:$C$65,C49)&gt;1,"Review",""))</x:f>
      </x:c>
      <x:c r="J49" s="42" t="str">
        <x:f>IF(AND(A49="",C49="",D49="",E49="",F49="",G49="",H49=""),"",IF(OR(A49="",C49="",D49="",E49=""),"Missing required field",""))</x:f>
      </x:c>
    </x:row>
    <x:row r="50" ht="22" customHeight="1">
      <x:c r="A50" s="34"/>
      <x:c r="B50" s="34" t="str">
        <x:f>IF(A50="","",A50-WEEKDAY(A50,2)+1)</x:f>
      </x:c>
      <x:c r="C50" s="35"/>
      <x:c r="D50" s="35"/>
      <x:c r="E50" s="35"/>
      <x:c r="F50" s="35"/>
      <x:c r="G50" s="35"/>
      <x:c r="H50" s="39"/>
      <x:c r="I50" s="42" t="str">
        <x:f>IF(C50="","",IF(COUNTIF($C$6:$C$65,C50)&gt;1,"Review",""))</x:f>
      </x:c>
      <x:c r="J50" s="42" t="str">
        <x:f>IF(AND(A50="",C50="",D50="",E50="",F50="",G50="",H50=""),"",IF(OR(A50="",C50="",D50="",E50=""),"Missing required field",""))</x:f>
      </x:c>
    </x:row>
    <x:row r="51" ht="22" customHeight="1">
      <x:c r="A51" s="34"/>
      <x:c r="B51" s="34" t="str">
        <x:f>IF(A51="","",A51-WEEKDAY(A51,2)+1)</x:f>
      </x:c>
      <x:c r="C51" s="35"/>
      <x:c r="D51" s="35"/>
      <x:c r="E51" s="35"/>
      <x:c r="F51" s="35"/>
      <x:c r="G51" s="35"/>
      <x:c r="H51" s="39"/>
      <x:c r="I51" s="42" t="str">
        <x:f>IF(C51="","",IF(COUNTIF($C$6:$C$65,C51)&gt;1,"Review",""))</x:f>
      </x:c>
      <x:c r="J51" s="42" t="str">
        <x:f>IF(AND(A51="",C51="",D51="",E51="",F51="",G51="",H51=""),"",IF(OR(A51="",C51="",D51="",E51=""),"Missing required field",""))</x:f>
      </x:c>
    </x:row>
    <x:row r="52" ht="22" customHeight="1">
      <x:c r="A52" s="34"/>
      <x:c r="B52" s="34" t="str">
        <x:f>IF(A52="","",A52-WEEKDAY(A52,2)+1)</x:f>
      </x:c>
      <x:c r="C52" s="35"/>
      <x:c r="D52" s="35"/>
      <x:c r="E52" s="35"/>
      <x:c r="F52" s="35"/>
      <x:c r="G52" s="35"/>
      <x:c r="H52" s="39"/>
      <x:c r="I52" s="42" t="str">
        <x:f>IF(C52="","",IF(COUNTIF($C$6:$C$65,C52)&gt;1,"Review",""))</x:f>
      </x:c>
      <x:c r="J52" s="42" t="str">
        <x:f>IF(AND(A52="",C52="",D52="",E52="",F52="",G52="",H52=""),"",IF(OR(A52="",C52="",D52="",E52=""),"Missing required field",""))</x:f>
      </x:c>
    </x:row>
    <x:row r="53" ht="22" customHeight="1">
      <x:c r="A53" s="34"/>
      <x:c r="B53" s="34" t="str">
        <x:f>IF(A53="","",A53-WEEKDAY(A53,2)+1)</x:f>
      </x:c>
      <x:c r="C53" s="35"/>
      <x:c r="D53" s="35"/>
      <x:c r="E53" s="35"/>
      <x:c r="F53" s="35"/>
      <x:c r="G53" s="35"/>
      <x:c r="H53" s="39"/>
      <x:c r="I53" s="42" t="str">
        <x:f>IF(C53="","",IF(COUNTIF($C$6:$C$65,C53)&gt;1,"Review",""))</x:f>
      </x:c>
      <x:c r="J53" s="42" t="str">
        <x:f>IF(AND(A53="",C53="",D53="",E53="",F53="",G53="",H53=""),"",IF(OR(A53="",C53="",D53="",E53=""),"Missing required field",""))</x:f>
      </x:c>
    </x:row>
    <x:row r="54" ht="22" customHeight="1">
      <x:c r="A54" s="34"/>
      <x:c r="B54" s="34" t="str">
        <x:f>IF(A54="","",A54-WEEKDAY(A54,2)+1)</x:f>
      </x:c>
      <x:c r="C54" s="35"/>
      <x:c r="D54" s="35"/>
      <x:c r="E54" s="35"/>
      <x:c r="F54" s="35"/>
      <x:c r="G54" s="35"/>
      <x:c r="H54" s="39"/>
      <x:c r="I54" s="42" t="str">
        <x:f>IF(C54="","",IF(COUNTIF($C$6:$C$65,C54)&gt;1,"Review",""))</x:f>
      </x:c>
      <x:c r="J54" s="42" t="str">
        <x:f>IF(AND(A54="",C54="",D54="",E54="",F54="",G54="",H54=""),"",IF(OR(A54="",C54="",D54="",E54=""),"Missing required field",""))</x:f>
      </x:c>
    </x:row>
    <x:row r="55" ht="22" customHeight="1">
      <x:c r="A55" s="34"/>
      <x:c r="B55" s="34" t="str">
        <x:f>IF(A55="","",A55-WEEKDAY(A55,2)+1)</x:f>
      </x:c>
      <x:c r="C55" s="35"/>
      <x:c r="D55" s="35"/>
      <x:c r="E55" s="35"/>
      <x:c r="F55" s="35"/>
      <x:c r="G55" s="35"/>
      <x:c r="H55" s="39"/>
      <x:c r="I55" s="42" t="str">
        <x:f>IF(C55="","",IF(COUNTIF($C$6:$C$65,C55)&gt;1,"Review",""))</x:f>
      </x:c>
      <x:c r="J55" s="42" t="str">
        <x:f>IF(AND(A55="",C55="",D55="",E55="",F55="",G55="",H55=""),"",IF(OR(A55="",C55="",D55="",E55=""),"Missing required field",""))</x:f>
      </x:c>
    </x:row>
    <x:row r="56" ht="22" customHeight="1">
      <x:c r="A56" s="34"/>
      <x:c r="B56" s="34" t="str">
        <x:f>IF(A56="","",A56-WEEKDAY(A56,2)+1)</x:f>
      </x:c>
      <x:c r="C56" s="35"/>
      <x:c r="D56" s="35"/>
      <x:c r="E56" s="35"/>
      <x:c r="F56" s="35"/>
      <x:c r="G56" s="35"/>
      <x:c r="H56" s="39"/>
      <x:c r="I56" s="42" t="str">
        <x:f>IF(C56="","",IF(COUNTIF($C$6:$C$65,C56)&gt;1,"Review",""))</x:f>
      </x:c>
      <x:c r="J56" s="42" t="str">
        <x:f>IF(AND(A56="",C56="",D56="",E56="",F56="",G56="",H56=""),"",IF(OR(A56="",C56="",D56="",E56=""),"Missing required field",""))</x:f>
      </x:c>
    </x:row>
    <x:row r="57" ht="22" customHeight="1">
      <x:c r="A57" s="34"/>
      <x:c r="B57" s="34" t="str">
        <x:f>IF(A57="","",A57-WEEKDAY(A57,2)+1)</x:f>
      </x:c>
      <x:c r="C57" s="35"/>
      <x:c r="D57" s="35"/>
      <x:c r="E57" s="35"/>
      <x:c r="F57" s="35"/>
      <x:c r="G57" s="35"/>
      <x:c r="H57" s="39"/>
      <x:c r="I57" s="42" t="str">
        <x:f>IF(C57="","",IF(COUNTIF($C$6:$C$65,C57)&gt;1,"Review",""))</x:f>
      </x:c>
      <x:c r="J57" s="42" t="str">
        <x:f>IF(AND(A57="",C57="",D57="",E57="",F57="",G57="",H57=""),"",IF(OR(A57="",C57="",D57="",E57=""),"Missing required field",""))</x:f>
      </x:c>
    </x:row>
    <x:row r="58" ht="22" customHeight="1">
      <x:c r="A58" s="34"/>
      <x:c r="B58" s="34" t="str">
        <x:f>IF(A58="","",A58-WEEKDAY(A58,2)+1)</x:f>
      </x:c>
      <x:c r="C58" s="35"/>
      <x:c r="D58" s="35"/>
      <x:c r="E58" s="35"/>
      <x:c r="F58" s="35"/>
      <x:c r="G58" s="35"/>
      <x:c r="H58" s="39"/>
      <x:c r="I58" s="42" t="str">
        <x:f>IF(C58="","",IF(COUNTIF($C$6:$C$65,C58)&gt;1,"Review",""))</x:f>
      </x:c>
      <x:c r="J58" s="42" t="str">
        <x:f>IF(AND(A58="",C58="",D58="",E58="",F58="",G58="",H58=""),"",IF(OR(A58="",C58="",D58="",E58=""),"Missing required field",""))</x:f>
      </x:c>
    </x:row>
    <x:row r="59" ht="22" customHeight="1">
      <x:c r="A59" s="34"/>
      <x:c r="B59" s="34" t="str">
        <x:f>IF(A59="","",A59-WEEKDAY(A59,2)+1)</x:f>
      </x:c>
      <x:c r="C59" s="35"/>
      <x:c r="D59" s="35"/>
      <x:c r="E59" s="35"/>
      <x:c r="F59" s="35"/>
      <x:c r="G59" s="35"/>
      <x:c r="H59" s="39"/>
      <x:c r="I59" s="42" t="str">
        <x:f>IF(C59="","",IF(COUNTIF($C$6:$C$65,C59)&gt;1,"Review",""))</x:f>
      </x:c>
      <x:c r="J59" s="42" t="str">
        <x:f>IF(AND(A59="",C59="",D59="",E59="",F59="",G59="",H59=""),"",IF(OR(A59="",C59="",D59="",E59=""),"Missing required field",""))</x:f>
      </x:c>
    </x:row>
    <x:row r="60" ht="22" customHeight="1">
      <x:c r="A60" s="34"/>
      <x:c r="B60" s="34" t="str">
        <x:f>IF(A60="","",A60-WEEKDAY(A60,2)+1)</x:f>
      </x:c>
      <x:c r="C60" s="35"/>
      <x:c r="D60" s="35"/>
      <x:c r="E60" s="35"/>
      <x:c r="F60" s="35"/>
      <x:c r="G60" s="35"/>
      <x:c r="H60" s="39"/>
      <x:c r="I60" s="42" t="str">
        <x:f>IF(C60="","",IF(COUNTIF($C$6:$C$65,C60)&gt;1,"Review",""))</x:f>
      </x:c>
      <x:c r="J60" s="42" t="str">
        <x:f>IF(AND(A60="",C60="",D60="",E60="",F60="",G60="",H60=""),"",IF(OR(A60="",C60="",D60="",E60=""),"Missing required field",""))</x:f>
      </x:c>
    </x:row>
    <x:row r="61" ht="22" customHeight="1">
      <x:c r="A61" s="34"/>
      <x:c r="B61" s="34" t="str">
        <x:f>IF(A61="","",A61-WEEKDAY(A61,2)+1)</x:f>
      </x:c>
      <x:c r="C61" s="35"/>
      <x:c r="D61" s="35"/>
      <x:c r="E61" s="35"/>
      <x:c r="F61" s="35"/>
      <x:c r="G61" s="35"/>
      <x:c r="H61" s="39"/>
      <x:c r="I61" s="42" t="str">
        <x:f>IF(C61="","",IF(COUNTIF($C$6:$C$65,C61)&gt;1,"Review",""))</x:f>
      </x:c>
      <x:c r="J61" s="42" t="str">
        <x:f>IF(AND(A61="",C61="",D61="",E61="",F61="",G61="",H61=""),"",IF(OR(A61="",C61="",D61="",E61=""),"Missing required field",""))</x:f>
      </x:c>
    </x:row>
    <x:row r="62" ht="22" customHeight="1">
      <x:c r="A62" s="34"/>
      <x:c r="B62" s="34" t="str">
        <x:f>IF(A62="","",A62-WEEKDAY(A62,2)+1)</x:f>
      </x:c>
      <x:c r="C62" s="35"/>
      <x:c r="D62" s="35"/>
      <x:c r="E62" s="35"/>
      <x:c r="F62" s="35"/>
      <x:c r="G62" s="35"/>
      <x:c r="H62" s="39"/>
      <x:c r="I62" s="42" t="str">
        <x:f>IF(C62="","",IF(COUNTIF($C$6:$C$65,C62)&gt;1,"Review",""))</x:f>
      </x:c>
      <x:c r="J62" s="42" t="str">
        <x:f>IF(AND(A62="",C62="",D62="",E62="",F62="",G62="",H62=""),"",IF(OR(A62="",C62="",D62="",E62=""),"Missing required field",""))</x:f>
      </x:c>
    </x:row>
    <x:row r="63" ht="22" customHeight="1">
      <x:c r="A63" s="34"/>
      <x:c r="B63" s="34" t="str">
        <x:f>IF(A63="","",A63-WEEKDAY(A63,2)+1)</x:f>
      </x:c>
      <x:c r="C63" s="35"/>
      <x:c r="D63" s="35"/>
      <x:c r="E63" s="35"/>
      <x:c r="F63" s="35"/>
      <x:c r="G63" s="35"/>
      <x:c r="H63" s="39"/>
      <x:c r="I63" s="42" t="str">
        <x:f>IF(C63="","",IF(COUNTIF($C$6:$C$65,C63)&gt;1,"Review",""))</x:f>
      </x:c>
      <x:c r="J63" s="42" t="str">
        <x:f>IF(AND(A63="",C63="",D63="",E63="",F63="",G63="",H63=""),"",IF(OR(A63="",C63="",D63="",E63=""),"Missing required field",""))</x:f>
      </x:c>
    </x:row>
    <x:row r="64" ht="22" customHeight="1">
      <x:c r="A64" s="34"/>
      <x:c r="B64" s="34" t="str">
        <x:f>IF(A64="","",A64-WEEKDAY(A64,2)+1)</x:f>
      </x:c>
      <x:c r="C64" s="35"/>
      <x:c r="D64" s="35"/>
      <x:c r="E64" s="35"/>
      <x:c r="F64" s="35"/>
      <x:c r="G64" s="35"/>
      <x:c r="H64" s="39"/>
      <x:c r="I64" s="42" t="str">
        <x:f>IF(C64="","",IF(COUNTIF($C$6:$C$65,C64)&gt;1,"Review",""))</x:f>
      </x:c>
      <x:c r="J64" s="42" t="str">
        <x:f>IF(AND(A64="",C64="",D64="",E64="",F64="",G64="",H64=""),"",IF(OR(A64="",C64="",D64="",E64=""),"Missing required field",""))</x:f>
      </x:c>
    </x:row>
    <x:row r="65" ht="22" customHeight="1">
      <x:c r="A65" s="36"/>
      <x:c r="B65" s="36" t="str">
        <x:f>IF(A65="","",A65-WEEKDAY(A65,2)+1)</x:f>
      </x:c>
      <x:c r="C65" s="37"/>
      <x:c r="D65" s="37"/>
      <x:c r="E65" s="37"/>
      <x:c r="F65" s="37"/>
      <x:c r="G65" s="37"/>
      <x:c r="H65" s="40"/>
      <x:c r="I65" s="43" t="str">
        <x:f>IF(C65="","",IF(COUNTIF($C$6:$C$65,C65)&gt;1,"Review",""))</x:f>
      </x:c>
      <x:c r="J65" s="43" t="str">
        <x:f>IF(AND(A65="",C65="",D65="",E65="",F65="",G65="",H65=""),"",IF(OR(A65="",C65="",D65="",E65=""),"Missing required field",""))</x:f>
      </x:c>
    </x:row>
  </x:sheetData>
  <x:mergeCells>
    <x:mergeCell ref="A1:J2"/>
    <x:mergeCell ref="A3:J3"/>
  </x:mergeCells>
  <x:conditionalFormatting sqref="I6:I65">
    <x:cfRule type="containsText" dxfId="0" priority="1" operator="containsText" text="Review"/>
  </x:conditionalFormatting>
  <x:conditionalFormatting sqref="J6:J65">
    <x:cfRule type="containsText" dxfId="1" priority="2" operator="containsText" text="Missing required field"/>
  </x:conditionalFormatting>
  <x:conditionalFormatting sqref="G6:G65">
    <x:cfRule type="containsText" dxfId="2" priority="3" operator="containsText" text="Pending"/>
  </x:conditionalFormatting>
  <x:dataValidations count="4">
    <x:dataValidation type="list" sqref="D6:D65">
      <x:formula1>"Phone,Chat,Email,In-person"</x:formula1>
    </x:dataValidation>
    <x:dataValidation type="list" sqref="E6:E65">
      <x:formula1>"Completed,Follow-up,No change"</x:formula1>
    </x:dataValidation>
    <x:dataValidation type="list" sqref="F6:F65">
      <x:formula1>"Yes,No"</x:formula1>
    </x:dataValidation>
    <x:dataValidation type="list" sqref="G6:G65">
      <x:formula1>"Complete,Pending"</x:formula1>
    </x:dataValidation>
  </x:dataValidations>
  <x:pageMargins left="0.7" right="0.7" top="0.75" bottom="0.75" header="0.3" footer="0.3"/>
  <x:legacyDrawing xmlns:r="http://schemas.openxmlformats.org/officeDocument/2006/relationships" r:id="R10edaec926f849c9"/>
  <x:tableParts count="1">
    <x:tablePart xmlns:r="http://schemas.openxmlformats.org/officeDocument/2006/relationships" r:id="Rc02acb91227f413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78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 ht="28" customHeight="1">
      <x:c r="A1" s="4" t="str">
        <x:v>Fictional Sales Activity Tracker — Read Me</x:v>
      </x:c>
      <x:c r="B1" s="4"/>
      <x:c r="C1" s="4"/>
      <x:c r="D1" s="4"/>
      <x:c r="E1" s="4"/>
      <x:c r="F1" s="4"/>
      <x:c r="G1" s="4"/>
      <x:c r="H1" s="4"/>
    </x:row>
    <x:row r="2" ht="28" customHeight="1">
      <x:c r="A2" s="4"/>
      <x:c r="B2" s="4"/>
      <x:c r="C2" s="4"/>
      <x:c r="D2" s="4"/>
      <x:c r="E2" s="4"/>
      <x:c r="F2" s="4"/>
      <x:c r="G2" s="4"/>
      <x:c r="H2" s="4"/>
    </x:row>
    <x:row r="3" ht="30" customHeight="1">
      <x:c r="A3" s="301" t="str">
        <x:v>This workbook is a portfolio demonstration. It is not connected to any employer, customer, product, account, sales target, compensation plan, or production system. Every record is fabricated.</x:v>
      </x:c>
      <x:c r="B3" s="301"/>
      <x:c r="C3" s="301"/>
      <x:c r="D3" s="301"/>
      <x:c r="E3" s="301"/>
      <x:c r="F3" s="301"/>
      <x:c r="G3" s="301"/>
      <x:c r="H3" s="301"/>
    </x:row>
    <x:row r="4" ht="30" customHeight="1">
      <x:c r="A4" s="301"/>
      <x:c r="B4" s="301"/>
      <x:c r="C4" s="301"/>
      <x:c r="D4" s="301"/>
      <x:c r="E4" s="301"/>
      <x:c r="F4" s="301"/>
      <x:c r="G4" s="301"/>
      <x:c r="H4" s="301"/>
    </x:row>
    <x:row r="6" ht="24" customHeight="1">
      <x:c r="A6" s="235" t="str">
        <x:v>What the workbook demonstrates</x:v>
      </x:c>
      <x:c r="B6" s="235"/>
      <x:c r="C6" s="235"/>
      <x:c r="D6" s="235"/>
      <x:c r="E6" s="235"/>
      <x:c r="F6" s="235"/>
      <x:c r="G6" s="235"/>
      <x:c r="H6" s="235"/>
    </x:row>
    <x:row r="7" ht="24" customHeight="1">
      <x:c r="A7" s="306" t="str">
        <x:v>1</x:v>
      </x:c>
      <x:c r="B7" s="303" t="str">
        <x:v>A single activity log with consistent fields and filters.</x:v>
      </x:c>
    </x:row>
    <x:row r="8" ht="24" customHeight="1">
      <x:c r="A8" s="306" t="str">
        <x:v>2</x:v>
      </x:c>
      <x:c r="B8" s="303" t="str">
        <x:v>Drop-down validation for channel, outcome, follow-up, and status.</x:v>
      </x:c>
    </x:row>
    <x:row r="9" ht="24" customHeight="1">
      <x:c r="A9" s="306" t="str">
        <x:v>3</x:v>
      </x:c>
      <x:c r="B9" s="303" t="str">
        <x:v>Formula-based duplicate and missing-field checks.</x:v>
      </x:c>
    </x:row>
    <x:row r="10" ht="24" customHeight="1">
      <x:c r="A10" s="306" t="str">
        <x:v>4</x:v>
      </x:c>
      <x:c r="B10" s="303" t="str">
        <x:v>A dashboard that summarizes fictional records without performance targets.</x:v>
      </x:c>
    </x:row>
    <x:row r="11" ht="24" customHeight="1">
      <x:c r="A11" s="306" t="str">
        <x:v>5</x:v>
      </x:c>
      <x:c r="B11" s="303" t="str">
        <x:v>Native Excel charts that update when the log changes.</x:v>
      </x:c>
    </x:row>
    <x:row r="12" ht="24" customHeight="1"/>
    <x:row r="13" ht="24" customHeight="1">
      <x:c r="A13" s="235" t="str">
        <x:v>How to use the demonstration file</x:v>
      </x:c>
      <x:c r="B13" s="235"/>
      <x:c r="C13" s="235"/>
      <x:c r="D13" s="235"/>
      <x:c r="E13" s="235"/>
      <x:c r="F13" s="235"/>
      <x:c r="G13" s="235"/>
      <x:c r="H13" s="235"/>
    </x:row>
    <x:row r="14" ht="24" customHeight="1">
      <x:c r="A14" s="309" t="str">
        <x:v>1</x:v>
      </x:c>
      <x:c r="B14" s="303" t="str">
        <x:v>Open Activity Log and add or replace fictional rows.</x:v>
      </x:c>
    </x:row>
    <x:row r="15" ht="24" customHeight="1">
      <x:c r="A15" s="309" t="str">
        <x:v>2</x:v>
      </x:c>
      <x:c r="B15" s="303" t="str">
        <x:v>Use the drop-down lists to keep entries consistent.</x:v>
      </x:c>
    </x:row>
    <x:row r="16" ht="24" customHeight="1">
      <x:c r="A16" s="309" t="str">
        <x:v>3</x:v>
      </x:c>
      <x:c r="B16" s="303" t="str">
        <x:v>Review amber duplicate alerts and red completeness alerts.</x:v>
      </x:c>
    </x:row>
    <x:row r="17" ht="24" customHeight="1">
      <x:c r="A17" s="309" t="str">
        <x:v>4</x:v>
      </x:c>
      <x:c r="B17" s="303" t="str">
        <x:v>Return to Dashboard to see the summaries and charts update.</x:v>
      </x:c>
    </x:row>
    <x:row r="19" ht="24" customHeight="1">
      <x:c r="A19" s="235" t="str">
        <x:v>Fields intentionally excluded</x:v>
      </x:c>
      <x:c r="B19" s="235"/>
      <x:c r="C19" s="235"/>
      <x:c r="D19" s="235"/>
      <x:c r="E19" s="235"/>
      <x:c r="F19" s="235"/>
      <x:c r="G19" s="235"/>
      <x:c r="H19" s="235"/>
    </x:row>
    <x:row r="20" ht="24" customHeight="1">
      <x:c r="A20" s="312" t="str">
        <x:v>Real customer or account identifiers</x:v>
      </x:c>
      <x:c r="B20" s="312"/>
      <x:c r="C20" s="312"/>
      <x:c r="D20" s="312"/>
      <x:c r="E20" s="312"/>
      <x:c r="F20" s="312"/>
      <x:c r="G20" s="312"/>
      <x:c r="H20" s="312"/>
    </x:row>
    <x:row r="21" ht="24" customHeight="1">
      <x:c r="A21" s="312" t="str">
        <x:v>Company-specific products, pricing, revenue, quotas, or goals</x:v>
      </x:c>
      <x:c r="B21" s="312"/>
      <x:c r="C21" s="312"/>
      <x:c r="D21" s="312"/>
      <x:c r="E21" s="312"/>
      <x:c r="F21" s="312"/>
      <x:c r="G21" s="312"/>
      <x:c r="H21" s="312"/>
    </x:row>
    <x:row r="22" ht="24" customHeight="1">
      <x:c r="A22" s="312" t="str">
        <x:v>Actual employee performance or operational results</x:v>
      </x:c>
      <x:c r="B22" s="312"/>
      <x:c r="C22" s="312"/>
      <x:c r="D22" s="312"/>
      <x:c r="E22" s="312"/>
      <x:c r="F22" s="312"/>
      <x:c r="G22" s="312"/>
      <x:c r="H22" s="312"/>
    </x:row>
  </x:sheetData>
  <x:mergeCells>
    <x:mergeCell ref="A1:H2"/>
    <x:mergeCell ref="A3:H4"/>
    <x:mergeCell ref="A6:H6"/>
    <x:mergeCell ref="A13:H13"/>
    <x:mergeCell ref="A19:H19"/>
    <x:mergeCell ref="A20:H20"/>
    <x:mergeCell ref="A21:H21"/>
    <x:mergeCell ref="A22:H22"/>
  </x:mergeCells>
  <x:pageMargins left="0.7" right="0.7" top="0.75" bottom="0.75" header="0.3" footer="0.3"/>
</x:worksheet>
</file>